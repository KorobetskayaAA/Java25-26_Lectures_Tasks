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2"/>
    <sheet name="orders" sheetId="2" state="visible" r:id="rId3"/>
    <sheet name="order_items" sheetId="3" state="visible" r:id="rId4"/>
  </sheets>
  <calcPr iterateCount="100" refMode="R1C1" iterate="false" iterateDelta="0.001"/>
  <extLst>
    <ext xmlns:loext="http://schemas.libreoffice.org/" uri="{7626C862-2A13-11E5-B345-FEFF819CDC9F}">
      <loext:extCalcPr stringRefSyntax="ExcelR1C1"/>
    </ext>
  </extLst>
</workbook>
</file>

<file path=xl/sharedStrings.xml><?xml version="1.0" encoding="utf-8"?>
<sst xmlns="http://schemas.openxmlformats.org/spreadsheetml/2006/main" count="183" uniqueCount="96">
  <si>
    <t xml:space="preserve">id</t>
  </si>
  <si>
    <t xml:space="preserve">barcode</t>
  </si>
  <si>
    <t xml:space="preserve">title</t>
  </si>
  <si>
    <t xml:space="preserve">status</t>
  </si>
  <si>
    <t xml:space="preserve">price</t>
  </si>
  <si>
    <t xml:space="preserve">insert into "catalog".item (id, barcode, title, status, price) VALUES</t>
  </si>
  <si>
    <t xml:space="preserve">base price</t>
  </si>
  <si>
    <t xml:space="preserve">Чайник электрический </t>
  </si>
  <si>
    <t xml:space="preserve">OPEN</t>
  </si>
  <si>
    <t xml:space="preserve">Тостер </t>
  </si>
  <si>
    <t xml:space="preserve">Микроволновая печь </t>
  </si>
  <si>
    <t xml:space="preserve">CLOSED</t>
  </si>
  <si>
    <t xml:space="preserve">Блендер </t>
  </si>
  <si>
    <t xml:space="preserve">Мясорубка </t>
  </si>
  <si>
    <t xml:space="preserve">Кофеварка </t>
  </si>
  <si>
    <t xml:space="preserve">Утюг </t>
  </si>
  <si>
    <t xml:space="preserve">Фен </t>
  </si>
  <si>
    <t xml:space="preserve">Пылесос </t>
  </si>
  <si>
    <t xml:space="preserve">Стиральная машина </t>
  </si>
  <si>
    <t xml:space="preserve">Холодильник </t>
  </si>
  <si>
    <t xml:space="preserve">Телевизор </t>
  </si>
  <si>
    <t xml:space="preserve">Ноутбук </t>
  </si>
  <si>
    <t xml:space="preserve">Планшет </t>
  </si>
  <si>
    <t xml:space="preserve">Смартфон </t>
  </si>
  <si>
    <t xml:space="preserve">Фотоаппарат </t>
  </si>
  <si>
    <t xml:space="preserve">Видеокамера </t>
  </si>
  <si>
    <t xml:space="preserve">Игровая приставка </t>
  </si>
  <si>
    <t xml:space="preserve">Велосипед </t>
  </si>
  <si>
    <t xml:space="preserve">Самокат </t>
  </si>
  <si>
    <t xml:space="preserve">Гироскутер </t>
  </si>
  <si>
    <t xml:space="preserve">Электросамокат </t>
  </si>
  <si>
    <t xml:space="preserve">Лыжи </t>
  </si>
  <si>
    <t xml:space="preserve">Коньки </t>
  </si>
  <si>
    <t xml:space="preserve">Скейтборд </t>
  </si>
  <si>
    <t xml:space="preserve">Санки </t>
  </si>
  <si>
    <t xml:space="preserve">Качели детские </t>
  </si>
  <si>
    <t xml:space="preserve">Горка детская </t>
  </si>
  <si>
    <t xml:space="preserve">Батут </t>
  </si>
  <si>
    <t xml:space="preserve">Бассейн надувной </t>
  </si>
  <si>
    <t xml:space="preserve">created</t>
  </si>
  <si>
    <t xml:space="preserve">customer_name</t>
  </si>
  <si>
    <t xml:space="preserve">insert into "orders".order (id, created, customer_name, status) VALUES</t>
  </si>
  <si>
    <t xml:space="preserve">date</t>
  </si>
  <si>
    <t xml:space="preserve">Осипов Денис</t>
  </si>
  <si>
    <t xml:space="preserve">Носков Александр</t>
  </si>
  <si>
    <t xml:space="preserve">Комаров Дмитрий</t>
  </si>
  <si>
    <t xml:space="preserve">CANCELED</t>
  </si>
  <si>
    <t xml:space="preserve">Михеева Елизавета</t>
  </si>
  <si>
    <t xml:space="preserve">Попов Тимофей</t>
  </si>
  <si>
    <t xml:space="preserve">Грачева Милана</t>
  </si>
  <si>
    <t xml:space="preserve">Фролова Александра</t>
  </si>
  <si>
    <t xml:space="preserve">Котова Мирослава</t>
  </si>
  <si>
    <t xml:space="preserve">Соколова Вера</t>
  </si>
  <si>
    <t xml:space="preserve">Львова Ксения</t>
  </si>
  <si>
    <t xml:space="preserve">Ефимова Анастасия</t>
  </si>
  <si>
    <t xml:space="preserve">Александров Александр</t>
  </si>
  <si>
    <t xml:space="preserve">Гаврилова Виктория</t>
  </si>
  <si>
    <t xml:space="preserve">Егоров Николай</t>
  </si>
  <si>
    <t xml:space="preserve">Мартынов Всеволод</t>
  </si>
  <si>
    <t xml:space="preserve">Ефремов Адам</t>
  </si>
  <si>
    <t xml:space="preserve">Скворцова Малика</t>
  </si>
  <si>
    <t xml:space="preserve">Миронова Татьяна</t>
  </si>
  <si>
    <t xml:space="preserve">Сергеев Владислав</t>
  </si>
  <si>
    <t xml:space="preserve">Медведев Егор</t>
  </si>
  <si>
    <t xml:space="preserve">Зеленина Агата</t>
  </si>
  <si>
    <t xml:space="preserve">Морозова Елизавета</t>
  </si>
  <si>
    <t xml:space="preserve">Ларин Максим</t>
  </si>
  <si>
    <t xml:space="preserve">Осипова Алина</t>
  </si>
  <si>
    <t xml:space="preserve">Захаров Александр</t>
  </si>
  <si>
    <t xml:space="preserve">Сидорова Амелия</t>
  </si>
  <si>
    <t xml:space="preserve">Зайцев Артур</t>
  </si>
  <si>
    <t xml:space="preserve">Семенова Кира</t>
  </si>
  <si>
    <t xml:space="preserve">Титова Софья</t>
  </si>
  <si>
    <t xml:space="preserve">Булгаков Андрей</t>
  </si>
  <si>
    <t xml:space="preserve">Иванова Анна</t>
  </si>
  <si>
    <t xml:space="preserve">PROCESSING</t>
  </si>
  <si>
    <t xml:space="preserve">Дроздов Степан</t>
  </si>
  <si>
    <t xml:space="preserve">Федорова Варвара</t>
  </si>
  <si>
    <t xml:space="preserve">Петрова Мария</t>
  </si>
  <si>
    <t xml:space="preserve">Александров Максим</t>
  </si>
  <si>
    <t xml:space="preserve">Тимофеев Александр</t>
  </si>
  <si>
    <t xml:space="preserve">Калашникова Полина</t>
  </si>
  <si>
    <t xml:space="preserve">Ильина Елена</t>
  </si>
  <si>
    <t xml:space="preserve">Лазарев Глеб</t>
  </si>
  <si>
    <t xml:space="preserve">Кузнецова Татьяна</t>
  </si>
  <si>
    <t xml:space="preserve">Попова Милана</t>
  </si>
  <si>
    <t xml:space="preserve">Лаптев Артём</t>
  </si>
  <si>
    <t xml:space="preserve">Владимирова Агния</t>
  </si>
  <si>
    <t xml:space="preserve">Ефремов Виктор</t>
  </si>
  <si>
    <t xml:space="preserve">Волков Матвей</t>
  </si>
  <si>
    <t xml:space="preserve">Пантелеева Елизавета</t>
  </si>
  <si>
    <t xml:space="preserve">Тихонова Мария</t>
  </si>
  <si>
    <t xml:space="preserve">order_id</t>
  </si>
  <si>
    <t xml:space="preserve">item_id</t>
  </si>
  <si>
    <t xml:space="preserve">quantity</t>
  </si>
  <si>
    <t xml:space="preserve">insert into "orders".order_item (order_id, item_id, quantity, price ) VALUES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</si>
</sst>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Thh:mm:ss"/>
    <numFmt numFmtId="166" formatCode="yyyy\-mm\-dd\ hh:mm:ss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27" colorId="64" zoomScale="220" zoomScaleNormal="220" zoomScalePageLayoutView="100" workbookViewId="0">
      <selection pane="topLeft" activeCell="F1" activeCellId="0" sqref="F1:F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14.53"/>
    <col collapsed="false" customWidth="true" hidden="false" outlineLevel="0" max="3" min="3" style="0" width="20.84"/>
    <col collapsed="false" customWidth="true" hidden="false" outlineLevel="0" max="4" min="4" style="0" width="8.91"/>
    <col collapsed="false" customWidth="true" hidden="false" outlineLevel="0" max="5" min="5" style="0" width="8.97"/>
    <col collapsed="false" customWidth="true" hidden="false" outlineLevel="0" max="6" min="6" style="0" width="53.3"/>
    <col collapsed="false" customWidth="true" hidden="false" outlineLevel="0" max="7" min="7" style="0" width="4.61"/>
    <col collapsed="false" customWidth="true" hidden="false" outlineLevel="0" max="8" min="8" style="0" width="8.97"/>
    <col collapsed="false" customWidth="true" hidden="false" outlineLevel="0" max="9" min="9" style="0" width="9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H1" s="0" t="s">
        <v>4</v>
      </c>
      <c r="I1" s="0" t="s">
        <v>6</v>
      </c>
    </row>
    <row r="2" customFormat="false" ht="12.8" hidden="false" customHeight="false" outlineLevel="0" collapsed="false">
      <c r="A2" s="2" t="n">
        <v>1</v>
      </c>
      <c r="B2" s="2" t="n">
        <v>4601234500001</v>
      </c>
      <c r="C2" s="2" t="s">
        <v>7</v>
      </c>
      <c r="D2" s="2" t="s">
        <v>8</v>
      </c>
      <c r="E2" s="2" t="n">
        <v>2511.64</v>
      </c>
      <c r="F2" s="0" t="str">
        <f aca="false">"("&amp;A2&amp;", '"&amp;B2&amp;"', '"&amp;C2&amp;"', '"&amp;D2&amp;"', "&amp;TEXT(E2,"[$-409]0.00")&amp;"),"</f>
        <v>(1, '4601234500001', 'Чайник электрический ', 'OPEN', 2511.64),</v>
      </c>
      <c r="H2" s="0" t="n">
        <f aca="true">ROUND(I2*(1+0.1*RAND()),2)</f>
        <v>2648.06</v>
      </c>
      <c r="I2" s="0" t="n">
        <v>2500</v>
      </c>
    </row>
    <row r="3" customFormat="false" ht="12.8" hidden="false" customHeight="false" outlineLevel="0" collapsed="false">
      <c r="A3" s="2" t="n">
        <v>2</v>
      </c>
      <c r="B3" s="2" t="n">
        <v>4601234500002</v>
      </c>
      <c r="C3" s="2" t="s">
        <v>9</v>
      </c>
      <c r="D3" s="2" t="s">
        <v>8</v>
      </c>
      <c r="E3" s="2" t="n">
        <v>1835.93</v>
      </c>
      <c r="F3" s="0" t="str">
        <f aca="false">"("&amp;A3&amp;", '"&amp;B3&amp;"', '"&amp;C3&amp;"', '"&amp;D3&amp;"', "&amp;TEXT(E3,"[$-409]0.00")&amp;"),"</f>
        <v>(2, '4601234500002', 'Тостер ', 'OPEN', 1835.93),</v>
      </c>
      <c r="H3" s="0" t="n">
        <f aca="true">ROUND(I3*(1+0.1*RAND()),2)</f>
        <v>1813.12</v>
      </c>
      <c r="I3" s="0" t="n">
        <v>1700</v>
      </c>
    </row>
    <row r="4" customFormat="false" ht="12.8" hidden="false" customHeight="false" outlineLevel="0" collapsed="false">
      <c r="A4" s="2" t="n">
        <v>3</v>
      </c>
      <c r="B4" s="2" t="n">
        <v>4601234500003</v>
      </c>
      <c r="C4" s="2" t="s">
        <v>10</v>
      </c>
      <c r="D4" s="2" t="s">
        <v>11</v>
      </c>
      <c r="E4" s="2" t="n">
        <v>4838.36</v>
      </c>
      <c r="F4" s="0" t="str">
        <f aca="false">"("&amp;A4&amp;", '"&amp;B4&amp;"', '"&amp;C4&amp;"', '"&amp;D4&amp;"', "&amp;TEXT(E4,"[$-409]0.00")&amp;"),"</f>
        <v>(3, '4601234500003', 'Микроволновая печь ', 'CLOSED', 4838.36),</v>
      </c>
      <c r="H4" s="0" t="n">
        <f aca="true">ROUND(I4*(1+0.1*RAND()),2)</f>
        <v>5221.49</v>
      </c>
      <c r="I4" s="0" t="n">
        <v>4800</v>
      </c>
    </row>
    <row r="5" customFormat="false" ht="12.8" hidden="false" customHeight="false" outlineLevel="0" collapsed="false">
      <c r="A5" s="2" t="n">
        <v>4</v>
      </c>
      <c r="B5" s="2" t="n">
        <v>4601234500004</v>
      </c>
      <c r="C5" s="2" t="s">
        <v>12</v>
      </c>
      <c r="D5" s="2" t="s">
        <v>8</v>
      </c>
      <c r="E5" s="2" t="n">
        <v>3504.5</v>
      </c>
      <c r="F5" s="0" t="str">
        <f aca="false">"("&amp;A5&amp;", '"&amp;B5&amp;"', '"&amp;C5&amp;"', '"&amp;D5&amp;"', "&amp;TEXT(E5,"[$-409]0.00")&amp;"),"</f>
        <v>(4, '4601234500004', 'Блендер ', 'OPEN', 3504.50),</v>
      </c>
      <c r="H5" s="0" t="n">
        <f aca="true">ROUND(I5*(1+0.1*RAND()),2)</f>
        <v>3354.56</v>
      </c>
      <c r="I5" s="0" t="n">
        <v>3200</v>
      </c>
    </row>
    <row r="6" customFormat="false" ht="12.8" hidden="false" customHeight="false" outlineLevel="0" collapsed="false">
      <c r="A6" s="2" t="n">
        <v>5</v>
      </c>
      <c r="B6" s="2" t="n">
        <v>4601234500005</v>
      </c>
      <c r="C6" s="2" t="s">
        <v>13</v>
      </c>
      <c r="D6" s="2" t="s">
        <v>8</v>
      </c>
      <c r="E6" s="2" t="n">
        <v>3180.24</v>
      </c>
      <c r="F6" s="0" t="str">
        <f aca="false">"("&amp;A6&amp;", '"&amp;B6&amp;"', '"&amp;C6&amp;"', '"&amp;D6&amp;"', "&amp;TEXT(E6,"[$-409]0.00")&amp;"),"</f>
        <v>(5, '4601234500005', 'Мясорубка ', 'OPEN', 3180.24),</v>
      </c>
      <c r="H6" s="0" t="n">
        <f aca="true">ROUND(I6*(1+0.1*RAND()),2)</f>
        <v>3083.56</v>
      </c>
      <c r="I6" s="0" t="n">
        <v>3000</v>
      </c>
    </row>
    <row r="7" customFormat="false" ht="12.8" hidden="false" customHeight="false" outlineLevel="0" collapsed="false">
      <c r="A7" s="2" t="n">
        <v>6</v>
      </c>
      <c r="B7" s="2" t="n">
        <v>4601234500006</v>
      </c>
      <c r="C7" s="2" t="s">
        <v>14</v>
      </c>
      <c r="D7" s="2" t="s">
        <v>8</v>
      </c>
      <c r="E7" s="2" t="n">
        <v>2299.84</v>
      </c>
      <c r="F7" s="0" t="str">
        <f aca="false">"("&amp;A7&amp;", '"&amp;B7&amp;"', '"&amp;C7&amp;"', '"&amp;D7&amp;"', "&amp;TEXT(E7,"[$-409]0.00")&amp;"),"</f>
        <v>(6, '4601234500006', 'Кофеварка ', 'OPEN', 2299.84),</v>
      </c>
      <c r="H7" s="0" t="n">
        <f aca="true">ROUND(I7*(1+0.1*RAND()),2)</f>
        <v>2143.03</v>
      </c>
      <c r="I7" s="0" t="n">
        <v>2100</v>
      </c>
    </row>
    <row r="8" customFormat="false" ht="12.8" hidden="false" customHeight="false" outlineLevel="0" collapsed="false">
      <c r="A8" s="2" t="n">
        <v>7</v>
      </c>
      <c r="B8" s="2" t="n">
        <v>4601234500007</v>
      </c>
      <c r="C8" s="2" t="s">
        <v>15</v>
      </c>
      <c r="D8" s="2" t="s">
        <v>8</v>
      </c>
      <c r="E8" s="2" t="n">
        <v>2359.22</v>
      </c>
      <c r="F8" s="0" t="str">
        <f aca="false">"("&amp;A8&amp;", '"&amp;B8&amp;"', '"&amp;C8&amp;"', '"&amp;D8&amp;"', "&amp;TEXT(E8,"[$-409]0.00")&amp;"),"</f>
        <v>(7, '4601234500007', 'Утюг ', 'OPEN', 2359.22),</v>
      </c>
      <c r="H8" s="0" t="n">
        <f aca="true">ROUND(I8*(1+0.1*RAND()),2)</f>
        <v>2487.97</v>
      </c>
      <c r="I8" s="0" t="n">
        <v>2300</v>
      </c>
    </row>
    <row r="9" customFormat="false" ht="12.8" hidden="false" customHeight="false" outlineLevel="0" collapsed="false">
      <c r="A9" s="2" t="n">
        <v>8</v>
      </c>
      <c r="B9" s="2" t="n">
        <v>4601234500008</v>
      </c>
      <c r="C9" s="2" t="s">
        <v>16</v>
      </c>
      <c r="D9" s="2" t="s">
        <v>8</v>
      </c>
      <c r="E9" s="2" t="n">
        <v>1424.93</v>
      </c>
      <c r="F9" s="0" t="str">
        <f aca="false">"("&amp;A9&amp;", '"&amp;B9&amp;"', '"&amp;C9&amp;"', '"&amp;D9&amp;"', "&amp;TEXT(E9,"[$-409]0.00")&amp;"),"</f>
        <v>(8, '4601234500008', 'Фен ', 'OPEN', 1424.93),</v>
      </c>
      <c r="H9" s="0" t="n">
        <f aca="true">ROUND(I9*(1+0.1*RAND()),2)</f>
        <v>1523.2</v>
      </c>
      <c r="I9" s="0" t="n">
        <v>1400</v>
      </c>
    </row>
    <row r="10" customFormat="false" ht="12.8" hidden="false" customHeight="false" outlineLevel="0" collapsed="false">
      <c r="A10" s="2" t="n">
        <v>9</v>
      </c>
      <c r="B10" s="2" t="n">
        <v>4601234500009</v>
      </c>
      <c r="C10" s="2" t="s">
        <v>17</v>
      </c>
      <c r="D10" s="2" t="s">
        <v>8</v>
      </c>
      <c r="E10" s="2" t="n">
        <v>6637.32</v>
      </c>
      <c r="F10" s="0" t="str">
        <f aca="false">"("&amp;A10&amp;", '"&amp;B10&amp;"', '"&amp;C10&amp;"', '"&amp;D10&amp;"', "&amp;TEXT(E10,"[$-409]0.00")&amp;"),"</f>
        <v>(9, '4601234500009', 'Пылесос ', 'OPEN', 6637.32),</v>
      </c>
      <c r="H10" s="0" t="n">
        <f aca="true">ROUND(I10*(1+0.1*RAND()),2)</f>
        <v>6641.65</v>
      </c>
      <c r="I10" s="0" t="n">
        <v>6500</v>
      </c>
    </row>
    <row r="11" customFormat="false" ht="12.8" hidden="false" customHeight="false" outlineLevel="0" collapsed="false">
      <c r="A11" s="2" t="n">
        <v>10</v>
      </c>
      <c r="B11" s="2" t="n">
        <v>4601234500010</v>
      </c>
      <c r="C11" s="2" t="s">
        <v>18</v>
      </c>
      <c r="D11" s="2" t="s">
        <v>11</v>
      </c>
      <c r="E11" s="2" t="n">
        <v>14577.5</v>
      </c>
      <c r="F11" s="0" t="str">
        <f aca="false">"("&amp;A11&amp;", '"&amp;B11&amp;"', '"&amp;C11&amp;"', '"&amp;D11&amp;"', "&amp;TEXT(E11,"[$-409]0.00")&amp;"),"</f>
        <v>(10, '4601234500010', 'Стиральная машина ', 'CLOSED', 14577.50),</v>
      </c>
      <c r="H11" s="0" t="n">
        <f aca="true">ROUND(I11*(1+0.1*RAND()),2)</f>
        <v>14533.43</v>
      </c>
      <c r="I11" s="0" t="n">
        <v>14000</v>
      </c>
    </row>
    <row r="12" customFormat="false" ht="12.8" hidden="false" customHeight="false" outlineLevel="0" collapsed="false">
      <c r="A12" s="2" t="n">
        <v>11</v>
      </c>
      <c r="B12" s="2" t="n">
        <v>4601234500011</v>
      </c>
      <c r="C12" s="2" t="s">
        <v>19</v>
      </c>
      <c r="D12" s="2" t="s">
        <v>8</v>
      </c>
      <c r="E12" s="2" t="n">
        <v>23653.84</v>
      </c>
      <c r="F12" s="0" t="str">
        <f aca="false">"("&amp;A12&amp;", '"&amp;B12&amp;"', '"&amp;C12&amp;"', '"&amp;D12&amp;"', "&amp;TEXT(E12,"[$-409]0.00")&amp;"),"</f>
        <v>(11, '4601234500011', 'Холодильник ', 'OPEN', 23653.84),</v>
      </c>
      <c r="H12" s="0" t="n">
        <f aca="true">ROUND(I12*(1+0.1*RAND()),2)</f>
        <v>23375.96</v>
      </c>
      <c r="I12" s="0" t="n">
        <v>22000</v>
      </c>
    </row>
    <row r="13" customFormat="false" ht="12.8" hidden="false" customHeight="false" outlineLevel="0" collapsed="false">
      <c r="A13" s="2" t="n">
        <v>12</v>
      </c>
      <c r="B13" s="2" t="n">
        <v>4601234500012</v>
      </c>
      <c r="C13" s="2" t="s">
        <v>20</v>
      </c>
      <c r="D13" s="2" t="s">
        <v>8</v>
      </c>
      <c r="E13" s="2" t="n">
        <v>27212.65</v>
      </c>
      <c r="F13" s="0" t="str">
        <f aca="false">"("&amp;A13&amp;", '"&amp;B13&amp;"', '"&amp;C13&amp;"', '"&amp;D13&amp;"', "&amp;TEXT(E13,"[$-409]0.00")&amp;"),"</f>
        <v>(12, '4601234500012', 'Телевизор ', 'OPEN', 27212.65),</v>
      </c>
      <c r="H13" s="0" t="n">
        <f aca="true">ROUND(I13*(1+0.1*RAND()),2)</f>
        <v>26792.3</v>
      </c>
      <c r="I13" s="0" t="n">
        <v>25000</v>
      </c>
    </row>
    <row r="14" customFormat="false" ht="12.8" hidden="false" customHeight="false" outlineLevel="0" collapsed="false">
      <c r="A14" s="2" t="n">
        <v>13</v>
      </c>
      <c r="B14" s="2" t="n">
        <v>4601234500013</v>
      </c>
      <c r="C14" s="2" t="s">
        <v>21</v>
      </c>
      <c r="D14" s="2" t="s">
        <v>11</v>
      </c>
      <c r="E14" s="2" t="n">
        <v>40228.93</v>
      </c>
      <c r="F14" s="0" t="str">
        <f aca="false">"("&amp;A14&amp;", '"&amp;B14&amp;"', '"&amp;C14&amp;"', '"&amp;D14&amp;"', "&amp;TEXT(E14,"[$-409]0.00")&amp;"),"</f>
        <v>(13, '4601234500013', 'Ноутбук ', 'CLOSED', 40228.93),</v>
      </c>
      <c r="H14" s="0" t="n">
        <f aca="true">ROUND(I14*(1+0.1*RAND()),2)</f>
        <v>43682.77</v>
      </c>
      <c r="I14" s="0" t="n">
        <v>40000</v>
      </c>
    </row>
    <row r="15" customFormat="false" ht="12.8" hidden="false" customHeight="false" outlineLevel="0" collapsed="false">
      <c r="A15" s="2" t="n">
        <v>14</v>
      </c>
      <c r="B15" s="2" t="n">
        <v>4601234500014</v>
      </c>
      <c r="C15" s="2" t="s">
        <v>22</v>
      </c>
      <c r="D15" s="2" t="s">
        <v>8</v>
      </c>
      <c r="E15" s="2" t="n">
        <v>9874.66</v>
      </c>
      <c r="F15" s="0" t="str">
        <f aca="false">"("&amp;A15&amp;", '"&amp;B15&amp;"', '"&amp;C15&amp;"', '"&amp;D15&amp;"', "&amp;TEXT(E15,"[$-409]0.00")&amp;"),"</f>
        <v>(14, '4601234500014', 'Планшет ', 'OPEN', 9874.66),</v>
      </c>
      <c r="H15" s="0" t="n">
        <f aca="true">ROUND(I15*(1+0.1*RAND()),2)</f>
        <v>9249.59</v>
      </c>
      <c r="I15" s="0" t="n">
        <v>9000</v>
      </c>
    </row>
    <row r="16" customFormat="false" ht="12.8" hidden="false" customHeight="false" outlineLevel="0" collapsed="false">
      <c r="A16" s="2" t="n">
        <v>15</v>
      </c>
      <c r="B16" s="2" t="n">
        <v>4601234500015</v>
      </c>
      <c r="C16" s="2" t="s">
        <v>23</v>
      </c>
      <c r="D16" s="2" t="s">
        <v>8</v>
      </c>
      <c r="E16" s="2" t="n">
        <v>8048.47</v>
      </c>
      <c r="F16" s="0" t="str">
        <f aca="false">"("&amp;A16&amp;", '"&amp;B16&amp;"', '"&amp;C16&amp;"', '"&amp;D16&amp;"', "&amp;TEXT(E16,"[$-409]0.00")&amp;"),"</f>
        <v>(15, '4601234500015', 'Смартфон ', 'OPEN', 8048.47),</v>
      </c>
      <c r="H16" s="0" t="n">
        <f aca="true">ROUND(I16*(1+0.1*RAND()),2)</f>
        <v>8641.65</v>
      </c>
      <c r="I16" s="0" t="n">
        <v>8000</v>
      </c>
    </row>
    <row r="17" customFormat="false" ht="12.8" hidden="false" customHeight="false" outlineLevel="0" collapsed="false">
      <c r="A17" s="2" t="n">
        <v>16</v>
      </c>
      <c r="B17" s="2" t="n">
        <v>4601234500016</v>
      </c>
      <c r="C17" s="2" t="s">
        <v>24</v>
      </c>
      <c r="D17" s="2" t="s">
        <v>8</v>
      </c>
      <c r="E17" s="2" t="n">
        <v>20536.69</v>
      </c>
      <c r="F17" s="0" t="str">
        <f aca="false">"("&amp;A17&amp;", '"&amp;B17&amp;"', '"&amp;C17&amp;"', '"&amp;D17&amp;"', "&amp;TEXT(E17,"[$-409]0.00")&amp;"),"</f>
        <v>(16, '4601234500016', 'Фотоаппарат ', 'OPEN', 20536.69),</v>
      </c>
      <c r="H17" s="0" t="n">
        <f aca="true">ROUND(I17*(1+0.1*RAND()),2)</f>
        <v>20018.72</v>
      </c>
      <c r="I17" s="0" t="n">
        <v>20000</v>
      </c>
    </row>
    <row r="18" customFormat="false" ht="12.8" hidden="false" customHeight="false" outlineLevel="0" collapsed="false">
      <c r="A18" s="2" t="n">
        <v>17</v>
      </c>
      <c r="B18" s="2" t="n">
        <v>4601234500017</v>
      </c>
      <c r="C18" s="2" t="s">
        <v>25</v>
      </c>
      <c r="D18" s="2" t="s">
        <v>8</v>
      </c>
      <c r="E18" s="2" t="n">
        <v>36385.95</v>
      </c>
      <c r="F18" s="0" t="str">
        <f aca="false">"("&amp;A18&amp;", '"&amp;B18&amp;"', '"&amp;C18&amp;"', '"&amp;D18&amp;"', "&amp;TEXT(E18,"[$-409]0.00")&amp;"),"</f>
        <v>(17, '4601234500017', 'Видеокамера ', 'OPEN', 36385.95),</v>
      </c>
      <c r="H18" s="0" t="n">
        <f aca="true">ROUND(I18*(1+0.1*RAND()),2)</f>
        <v>37904.59</v>
      </c>
      <c r="I18" s="0" t="n">
        <v>35000</v>
      </c>
    </row>
    <row r="19" customFormat="false" ht="12.8" hidden="false" customHeight="false" outlineLevel="0" collapsed="false">
      <c r="A19" s="2" t="n">
        <v>18</v>
      </c>
      <c r="B19" s="2" t="n">
        <v>4601234500018</v>
      </c>
      <c r="C19" s="2" t="s">
        <v>26</v>
      </c>
      <c r="D19" s="2" t="s">
        <v>11</v>
      </c>
      <c r="E19" s="2" t="n">
        <v>25184.48</v>
      </c>
      <c r="F19" s="0" t="str">
        <f aca="false">"("&amp;A19&amp;", '"&amp;B19&amp;"', '"&amp;C19&amp;"', '"&amp;D19&amp;"', "&amp;TEXT(E19,"[$-409]0.00")&amp;"),"</f>
        <v>(18, '4601234500018', 'Игровая приставка ', 'CLOSED', 25184.48),</v>
      </c>
      <c r="H19" s="0" t="n">
        <f aca="true">ROUND(I19*(1+0.1*RAND()),2)</f>
        <v>23377.64</v>
      </c>
      <c r="I19" s="0" t="n">
        <v>23000</v>
      </c>
    </row>
    <row r="20" customFormat="false" ht="12.8" hidden="false" customHeight="false" outlineLevel="0" collapsed="false">
      <c r="A20" s="2" t="n">
        <v>19</v>
      </c>
      <c r="B20" s="2" t="n">
        <v>4601234500019</v>
      </c>
      <c r="C20" s="2" t="s">
        <v>27</v>
      </c>
      <c r="D20" s="2" t="s">
        <v>11</v>
      </c>
      <c r="E20" s="2" t="n">
        <v>12504.17</v>
      </c>
      <c r="F20" s="0" t="str">
        <f aca="false">"("&amp;A20&amp;", '"&amp;B20&amp;"', '"&amp;C20&amp;"', '"&amp;D20&amp;"', "&amp;TEXT(E20,"[$-409]0.00")&amp;"),"</f>
        <v>(19, '4601234500019', 'Велосипед ', 'CLOSED', 12504.17),</v>
      </c>
      <c r="H20" s="0" t="n">
        <f aca="true">ROUND(I20*(1+0.1*RAND()),2)</f>
        <v>13039.75</v>
      </c>
      <c r="I20" s="0" t="n">
        <v>12000</v>
      </c>
    </row>
    <row r="21" customFormat="false" ht="12.8" hidden="false" customHeight="false" outlineLevel="0" collapsed="false">
      <c r="A21" s="2" t="n">
        <v>20</v>
      </c>
      <c r="B21" s="2" t="n">
        <v>4601234500020</v>
      </c>
      <c r="C21" s="2" t="s">
        <v>28</v>
      </c>
      <c r="D21" s="2" t="s">
        <v>8</v>
      </c>
      <c r="E21" s="2" t="n">
        <v>5063.9</v>
      </c>
      <c r="F21" s="0" t="str">
        <f aca="false">"("&amp;A21&amp;", '"&amp;B21&amp;"', '"&amp;C21&amp;"', '"&amp;D21&amp;"', "&amp;TEXT(E21,"[$-409]0.00")&amp;"),"</f>
        <v>(20, '4601234500020', 'Самокат ', 'OPEN', 5063.90),</v>
      </c>
      <c r="H21" s="0" t="n">
        <f aca="true">ROUND(I21*(1+0.1*RAND()),2)</f>
        <v>5037.73</v>
      </c>
      <c r="I21" s="0" t="n">
        <v>5000</v>
      </c>
    </row>
    <row r="22" customFormat="false" ht="12.8" hidden="false" customHeight="false" outlineLevel="0" collapsed="false">
      <c r="A22" s="2" t="n">
        <v>21</v>
      </c>
      <c r="B22" s="2" t="n">
        <v>4601234500021</v>
      </c>
      <c r="C22" s="2" t="s">
        <v>29</v>
      </c>
      <c r="D22" s="2" t="s">
        <v>8</v>
      </c>
      <c r="E22" s="2" t="n">
        <v>10776.39</v>
      </c>
      <c r="F22" s="0" t="str">
        <f aca="false">"("&amp;A22&amp;", '"&amp;B22&amp;"', '"&amp;C22&amp;"', '"&amp;D22&amp;"', "&amp;TEXT(E22,"[$-409]0.00")&amp;"),"</f>
        <v>(21, '4601234500021', 'Гироскутер ', 'OPEN', 10776.39),</v>
      </c>
      <c r="H22" s="0" t="n">
        <f aca="true">ROUND(I22*(1+0.1*RAND()),2)</f>
        <v>10485.49</v>
      </c>
      <c r="I22" s="0" t="n">
        <v>10000</v>
      </c>
    </row>
    <row r="23" customFormat="false" ht="12.8" hidden="false" customHeight="false" outlineLevel="0" collapsed="false">
      <c r="A23" s="2" t="n">
        <v>22</v>
      </c>
      <c r="B23" s="2" t="n">
        <v>4601234500022</v>
      </c>
      <c r="C23" s="2" t="s">
        <v>30</v>
      </c>
      <c r="D23" s="2" t="s">
        <v>8</v>
      </c>
      <c r="E23" s="2" t="n">
        <v>28126.56</v>
      </c>
      <c r="F23" s="0" t="str">
        <f aca="false">"("&amp;A23&amp;", '"&amp;B23&amp;"', '"&amp;C23&amp;"', '"&amp;D23&amp;"', "&amp;TEXT(E23,"[$-409]0.00")&amp;"),"</f>
        <v>(22, '4601234500022', 'Электросамокат ', 'OPEN', 28126.56),</v>
      </c>
      <c r="H23" s="0" t="n">
        <f aca="true">ROUND(I23*(1+0.1*RAND()),2)</f>
        <v>30275.15</v>
      </c>
      <c r="I23" s="0" t="n">
        <v>28000</v>
      </c>
    </row>
    <row r="24" customFormat="false" ht="12.8" hidden="false" customHeight="false" outlineLevel="0" collapsed="false">
      <c r="A24" s="2" t="n">
        <v>23</v>
      </c>
      <c r="B24" s="2" t="n">
        <v>4601234500023</v>
      </c>
      <c r="C24" s="2" t="s">
        <v>31</v>
      </c>
      <c r="D24" s="2" t="s">
        <v>8</v>
      </c>
      <c r="E24" s="2" t="n">
        <v>7434.45</v>
      </c>
      <c r="F24" s="0" t="str">
        <f aca="false">"("&amp;A24&amp;", '"&amp;B24&amp;"', '"&amp;C24&amp;"', '"&amp;D24&amp;"', "&amp;TEXT(E24,"[$-409]0.00")&amp;"),"</f>
        <v>(23, '4601234500023', 'Лыжи ', 'OPEN', 7434.45),</v>
      </c>
      <c r="H24" s="0" t="n">
        <f aca="true">ROUND(I24*(1+0.1*RAND()),2)</f>
        <v>7391.5</v>
      </c>
      <c r="I24" s="0" t="n">
        <v>7000</v>
      </c>
    </row>
    <row r="25" customFormat="false" ht="12.8" hidden="false" customHeight="false" outlineLevel="0" collapsed="false">
      <c r="A25" s="2" t="n">
        <v>24</v>
      </c>
      <c r="B25" s="2" t="n">
        <v>4601234500024</v>
      </c>
      <c r="C25" s="2" t="s">
        <v>32</v>
      </c>
      <c r="D25" s="2" t="s">
        <v>11</v>
      </c>
      <c r="E25" s="2" t="n">
        <v>5721.23</v>
      </c>
      <c r="F25" s="0" t="str">
        <f aca="false">"("&amp;A25&amp;", '"&amp;B25&amp;"', '"&amp;C25&amp;"', '"&amp;D25&amp;"', "&amp;TEXT(E25,"[$-409]0.00")&amp;"),"</f>
        <v>(24, '4601234500024', 'Коньки ', 'CLOSED', 5721.23),</v>
      </c>
      <c r="H25" s="0" t="n">
        <f aca="true">ROUND(I25*(1+0.1*RAND()),2)</f>
        <v>5674.21</v>
      </c>
      <c r="I25" s="0" t="n">
        <v>5500</v>
      </c>
    </row>
    <row r="26" customFormat="false" ht="12.8" hidden="false" customHeight="false" outlineLevel="0" collapsed="false">
      <c r="A26" s="2" t="n">
        <v>25</v>
      </c>
      <c r="B26" s="2" t="n">
        <v>4601234500025</v>
      </c>
      <c r="C26" s="2" t="s">
        <v>33</v>
      </c>
      <c r="D26" s="2" t="s">
        <v>8</v>
      </c>
      <c r="E26" s="2" t="n">
        <v>4078.81</v>
      </c>
      <c r="F26" s="0" t="str">
        <f aca="false">"("&amp;A26&amp;", '"&amp;B26&amp;"', '"&amp;C26&amp;"', '"&amp;D26&amp;"', "&amp;TEXT(E26,"[$-409]0.00")&amp;"),"</f>
        <v>(25, '4601234500025', 'Скейтборд ', 'OPEN', 4078.81),</v>
      </c>
      <c r="H26" s="0" t="n">
        <f aca="true">ROUND(I26*(1+0.1*RAND()),2)</f>
        <v>4076.98</v>
      </c>
      <c r="I26" s="0" t="n">
        <v>4000</v>
      </c>
    </row>
    <row r="27" customFormat="false" ht="12.8" hidden="false" customHeight="false" outlineLevel="0" collapsed="false">
      <c r="A27" s="2" t="n">
        <v>26</v>
      </c>
      <c r="B27" s="2" t="n">
        <v>4601234500026</v>
      </c>
      <c r="C27" s="2" t="s">
        <v>34</v>
      </c>
      <c r="D27" s="2" t="s">
        <v>8</v>
      </c>
      <c r="E27" s="2" t="n">
        <v>3546.06</v>
      </c>
      <c r="F27" s="0" t="str">
        <f aca="false">"("&amp;A27&amp;", '"&amp;B27&amp;"', '"&amp;C27&amp;"', '"&amp;D27&amp;"', "&amp;TEXT(E27,"[$-409]0.00")&amp;"),"</f>
        <v>(26, '4601234500026', 'Санки ', 'OPEN', 3546.06),</v>
      </c>
      <c r="H27" s="0" t="n">
        <f aca="true">ROUND(I27*(1+0.1*RAND()),2)</f>
        <v>3632.92</v>
      </c>
      <c r="I27" s="0" t="n">
        <v>3500</v>
      </c>
    </row>
    <row r="28" customFormat="false" ht="12.8" hidden="false" customHeight="false" outlineLevel="0" collapsed="false">
      <c r="A28" s="2" t="n">
        <v>27</v>
      </c>
      <c r="B28" s="2" t="n">
        <v>4601234500027</v>
      </c>
      <c r="C28" s="2" t="s">
        <v>35</v>
      </c>
      <c r="D28" s="2" t="s">
        <v>8</v>
      </c>
      <c r="E28" s="2" t="n">
        <v>9215.76</v>
      </c>
      <c r="F28" s="0" t="str">
        <f aca="false">"("&amp;A28&amp;", '"&amp;B28&amp;"', '"&amp;C28&amp;"', '"&amp;D28&amp;"', "&amp;TEXT(E28,"[$-409]0.00")&amp;"),"</f>
        <v>(27, '4601234500027', 'Качели детские ', 'OPEN', 9215.76),</v>
      </c>
      <c r="H28" s="0" t="n">
        <f aca="true">ROUND(I28*(1+0.1*RAND()),2)</f>
        <v>9301.14</v>
      </c>
      <c r="I28" s="0" t="n">
        <v>8500</v>
      </c>
    </row>
    <row r="29" customFormat="false" ht="12.8" hidden="false" customHeight="false" outlineLevel="0" collapsed="false">
      <c r="A29" s="2" t="n">
        <v>28</v>
      </c>
      <c r="B29" s="2" t="n">
        <v>4601234500028</v>
      </c>
      <c r="C29" s="2" t="s">
        <v>36</v>
      </c>
      <c r="D29" s="2" t="s">
        <v>8</v>
      </c>
      <c r="E29" s="2" t="n">
        <v>10044.23</v>
      </c>
      <c r="F29" s="0" t="str">
        <f aca="false">"("&amp;A29&amp;", '"&amp;B29&amp;"', '"&amp;C29&amp;"', '"&amp;D29&amp;"', "&amp;TEXT(E29,"[$-409]0.00")&amp;"),"</f>
        <v>(28, '4601234500028', 'Горка детская ', 'OPEN', 10044.23),</v>
      </c>
      <c r="H29" s="0" t="n">
        <f aca="true">ROUND(I29*(1+0.1*RAND()),2)</f>
        <v>9719.53</v>
      </c>
      <c r="I29" s="0" t="n">
        <v>9500</v>
      </c>
    </row>
    <row r="30" customFormat="false" ht="12.8" hidden="false" customHeight="false" outlineLevel="0" collapsed="false">
      <c r="A30" s="2" t="n">
        <v>29</v>
      </c>
      <c r="B30" s="2" t="n">
        <v>4601234500029</v>
      </c>
      <c r="C30" s="2" t="s">
        <v>37</v>
      </c>
      <c r="D30" s="2" t="s">
        <v>11</v>
      </c>
      <c r="E30" s="2" t="n">
        <v>11676.11</v>
      </c>
      <c r="F30" s="0" t="str">
        <f aca="false">"("&amp;A30&amp;", '"&amp;B30&amp;"', '"&amp;C30&amp;"', '"&amp;D30&amp;"', "&amp;TEXT(E30,"[$-409]0.00")&amp;"),"</f>
        <v>(29, '4601234500029', 'Батут ', 'CLOSED', 11676.11),</v>
      </c>
      <c r="H30" s="0" t="n">
        <f aca="true">ROUND(I30*(1+0.1*RAND()),2)</f>
        <v>11261</v>
      </c>
      <c r="I30" s="0" t="n">
        <v>11000</v>
      </c>
    </row>
    <row r="31" customFormat="false" ht="12.8" hidden="false" customHeight="false" outlineLevel="0" collapsed="false">
      <c r="A31" s="2" t="n">
        <v>30</v>
      </c>
      <c r="B31" s="2" t="n">
        <v>4601234500030</v>
      </c>
      <c r="C31" s="2" t="s">
        <v>38</v>
      </c>
      <c r="D31" s="2" t="s">
        <v>8</v>
      </c>
      <c r="E31" s="2" t="n">
        <v>3062.81</v>
      </c>
      <c r="F31" s="0" t="str">
        <f aca="false">"("&amp;A31&amp;", '"&amp;B31&amp;"', '"&amp;C31&amp;"', '"&amp;D31&amp;"', "&amp;TEXT(E31,"[$-409]0.00")&amp;"),"</f>
        <v>(30, '4601234500030', 'Бассейн надувной ', 'OPEN', 3062.81),</v>
      </c>
      <c r="H31" s="0" t="n">
        <f aca="true">ROUND(I31*(1+0.1*RAND()),2)</f>
        <v>2861.01</v>
      </c>
      <c r="I31" s="0" t="n">
        <v>2800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C41" colorId="64" zoomScale="220" zoomScaleNormal="220" zoomScalePageLayoutView="100" workbookViewId="0">
      <selection pane="topLeft" activeCell="E1" activeCellId="1" sqref="F1:F31 E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21.97"/>
    <col collapsed="false" customWidth="true" hidden="false" outlineLevel="0" max="3" min="3" style="0" width="22.16"/>
    <col collapsed="false" customWidth="true" hidden="false" outlineLevel="0" max="4" min="4" style="0" width="13.58"/>
    <col collapsed="false" customWidth="true" hidden="false" outlineLevel="0" max="5" min="5" style="0" width="51.47"/>
    <col collapsed="false" customWidth="true" hidden="false" outlineLevel="0" max="6" min="6" style="0" width="20.38"/>
  </cols>
  <sheetData>
    <row r="1" customFormat="false" ht="12.8" hidden="false" customHeight="false" outlineLevel="0" collapsed="false">
      <c r="A1" s="1" t="s">
        <v>0</v>
      </c>
      <c r="B1" s="1" t="s">
        <v>39</v>
      </c>
      <c r="C1" s="1" t="s">
        <v>40</v>
      </c>
      <c r="D1" s="1" t="s">
        <v>3</v>
      </c>
      <c r="E1" s="0" t="s">
        <v>41</v>
      </c>
      <c r="F1" s="0" t="s">
        <v>42</v>
      </c>
    </row>
    <row r="2" customFormat="false" ht="12.8" hidden="false" customHeight="false" outlineLevel="0" collapsed="false">
      <c r="A2" s="2" t="n">
        <v>1</v>
      </c>
      <c r="B2" s="3" t="n">
        <v>44927.9110433281</v>
      </c>
      <c r="C2" s="2" t="s">
        <v>43</v>
      </c>
      <c r="D2" s="2" t="s">
        <v>11</v>
      </c>
      <c r="E2" s="0" t="str">
        <f aca="false">"("&amp;$A2&amp;", '"&amp;TEXT($B2,"YYYY-MM-DDTHH:MM:SS")&amp;"', '"&amp;$C2&amp;"', '"&amp;$D2&amp;"'),"</f>
        <v>(1, '2023-01-01T21:51:54', 'Осипов Денис', 'CLOSED'),</v>
      </c>
      <c r="F2" s="4" t="n">
        <f aca="true">DATE(2023,1,1)+$A2*10*RAND()+RAND()</f>
        <v>44932.8313783344</v>
      </c>
    </row>
    <row r="3" customFormat="false" ht="12.8" hidden="false" customHeight="false" outlineLevel="0" collapsed="false">
      <c r="A3" s="2" t="n">
        <v>2</v>
      </c>
      <c r="B3" s="3" t="n">
        <v>44928.9110433281</v>
      </c>
      <c r="C3" s="2" t="s">
        <v>44</v>
      </c>
      <c r="D3" s="2" t="s">
        <v>11</v>
      </c>
      <c r="E3" s="0" t="str">
        <f aca="false">"("&amp;$A3&amp;", '"&amp;TEXT($B3,"YYYY-MM-DDTHH:MM:SS")&amp;"', '"&amp;$C3&amp;"', '"&amp;$D3&amp;"'),"</f>
        <v>(2, '2023-01-02T21:51:54', 'Носков Александр', 'CLOSED'),</v>
      </c>
    </row>
    <row r="4" customFormat="false" ht="12.8" hidden="false" customHeight="false" outlineLevel="0" collapsed="false">
      <c r="A4" s="2" t="n">
        <v>3</v>
      </c>
      <c r="B4" s="3" t="n">
        <v>44929.9110433281</v>
      </c>
      <c r="C4" s="2" t="s">
        <v>45</v>
      </c>
      <c r="D4" s="2" t="s">
        <v>46</v>
      </c>
      <c r="E4" s="0" t="str">
        <f aca="false">"("&amp;$A4&amp;", '"&amp;TEXT($B4,"YYYY-MM-DDTHH:MM:SS")&amp;"', '"&amp;$C4&amp;"', '"&amp;$D4&amp;"'),"</f>
        <v>(3, '2023-01-03T21:51:54', 'Комаров Дмитрий', 'CANCELED'),</v>
      </c>
    </row>
    <row r="5" customFormat="false" ht="12.8" hidden="false" customHeight="false" outlineLevel="0" collapsed="false">
      <c r="A5" s="2" t="n">
        <v>4</v>
      </c>
      <c r="B5" s="3" t="n">
        <v>44930.9110433281</v>
      </c>
      <c r="C5" s="2" t="s">
        <v>47</v>
      </c>
      <c r="D5" s="2" t="s">
        <v>11</v>
      </c>
      <c r="E5" s="0" t="str">
        <f aca="false">"("&amp;$A5&amp;", '"&amp;TEXT($B5,"YYYY-MM-DDTHH:MM:SS")&amp;"', '"&amp;$C5&amp;"', '"&amp;$D5&amp;"'),"</f>
        <v>(4, '2023-01-04T21:51:54', 'Михеева Елизавета', 'CLOSED'),</v>
      </c>
    </row>
    <row r="6" customFormat="false" ht="12.8" hidden="false" customHeight="false" outlineLevel="0" collapsed="false">
      <c r="A6" s="2" t="n">
        <v>5</v>
      </c>
      <c r="B6" s="3" t="n">
        <v>44931.9110433281</v>
      </c>
      <c r="C6" s="2" t="s">
        <v>48</v>
      </c>
      <c r="D6" s="2" t="s">
        <v>11</v>
      </c>
      <c r="E6" s="0" t="str">
        <f aca="false">"("&amp;$A6&amp;", '"&amp;TEXT($B6,"YYYY-MM-DDTHH:MM:SS")&amp;"', '"&amp;$C6&amp;"', '"&amp;$D6&amp;"'),"</f>
        <v>(5, '2023-01-05T21:51:54', 'Попов Тимофей', 'CLOSED'),</v>
      </c>
    </row>
    <row r="7" customFormat="false" ht="12.8" hidden="false" customHeight="false" outlineLevel="0" collapsed="false">
      <c r="A7" s="2" t="n">
        <v>6</v>
      </c>
      <c r="B7" s="3" t="n">
        <v>44932.9110433281</v>
      </c>
      <c r="C7" s="2" t="s">
        <v>49</v>
      </c>
      <c r="D7" s="2" t="s">
        <v>11</v>
      </c>
      <c r="E7" s="0" t="str">
        <f aca="false">"("&amp;$A7&amp;", '"&amp;TEXT($B7,"YYYY-MM-DDTHH:MM:SS")&amp;"', '"&amp;$C7&amp;"', '"&amp;$D7&amp;"'),"</f>
        <v>(6, '2023-01-06T21:51:54', 'Грачева Милана', 'CLOSED'),</v>
      </c>
    </row>
    <row r="8" customFormat="false" ht="12.8" hidden="false" customHeight="false" outlineLevel="0" collapsed="false">
      <c r="A8" s="2" t="n">
        <v>7</v>
      </c>
      <c r="B8" s="3" t="n">
        <v>44933.9110433281</v>
      </c>
      <c r="C8" s="2" t="s">
        <v>50</v>
      </c>
      <c r="D8" s="2" t="s">
        <v>11</v>
      </c>
      <c r="E8" s="0" t="str">
        <f aca="false">"("&amp;$A8&amp;", '"&amp;TEXT($B8,"YYYY-MM-DDTHH:MM:SS")&amp;"', '"&amp;$C8&amp;"', '"&amp;$D8&amp;"'),"</f>
        <v>(7, '2023-01-07T21:51:54', 'Фролова Александра', 'CLOSED'),</v>
      </c>
    </row>
    <row r="9" customFormat="false" ht="12.8" hidden="false" customHeight="false" outlineLevel="0" collapsed="false">
      <c r="A9" s="2" t="n">
        <v>8</v>
      </c>
      <c r="B9" s="3" t="n">
        <v>44934.9110433281</v>
      </c>
      <c r="C9" s="2" t="s">
        <v>51</v>
      </c>
      <c r="D9" s="2" t="s">
        <v>11</v>
      </c>
      <c r="E9" s="0" t="str">
        <f aca="false">"("&amp;$A9&amp;", '"&amp;TEXT($B9,"YYYY-MM-DDTHH:MM:SS")&amp;"', '"&amp;$C9&amp;"', '"&amp;$D9&amp;"'),"</f>
        <v>(8, '2023-01-08T21:51:54', 'Котова Мирослава', 'CLOSED'),</v>
      </c>
    </row>
    <row r="10" customFormat="false" ht="12.8" hidden="false" customHeight="false" outlineLevel="0" collapsed="false">
      <c r="A10" s="2" t="n">
        <v>9</v>
      </c>
      <c r="B10" s="3" t="n">
        <v>44935.9110433281</v>
      </c>
      <c r="C10" s="2" t="s">
        <v>52</v>
      </c>
      <c r="D10" s="2" t="s">
        <v>11</v>
      </c>
      <c r="E10" s="0" t="str">
        <f aca="false">"("&amp;$A10&amp;", '"&amp;TEXT($B10,"YYYY-MM-DDTHH:MM:SS")&amp;"', '"&amp;$C10&amp;"', '"&amp;$D10&amp;"'),"</f>
        <v>(9, '2023-01-09T21:51:54', 'Соколова Вера', 'CLOSED'),</v>
      </c>
    </row>
    <row r="11" customFormat="false" ht="12.8" hidden="false" customHeight="false" outlineLevel="0" collapsed="false">
      <c r="A11" s="2" t="n">
        <v>10</v>
      </c>
      <c r="B11" s="3" t="n">
        <v>44936.9110433281</v>
      </c>
      <c r="C11" s="2" t="s">
        <v>53</v>
      </c>
      <c r="D11" s="2" t="s">
        <v>46</v>
      </c>
      <c r="E11" s="0" t="str">
        <f aca="false">"("&amp;$A11&amp;", '"&amp;TEXT($B11,"YYYY-MM-DDTHH:MM:SS")&amp;"', '"&amp;$C11&amp;"', '"&amp;$D11&amp;"'),"</f>
        <v>(10, '2023-01-10T21:51:54', 'Львова Ксения', 'CANCELED'),</v>
      </c>
    </row>
    <row r="12" customFormat="false" ht="12.8" hidden="false" customHeight="false" outlineLevel="0" collapsed="false">
      <c r="A12" s="2" t="n">
        <v>11</v>
      </c>
      <c r="B12" s="3" t="n">
        <v>44937.9110433281</v>
      </c>
      <c r="C12" s="2" t="s">
        <v>54</v>
      </c>
      <c r="D12" s="2" t="s">
        <v>11</v>
      </c>
      <c r="E12" s="0" t="str">
        <f aca="false">"("&amp;$A12&amp;", '"&amp;TEXT($B12,"YYYY-MM-DDTHH:MM:SS")&amp;"', '"&amp;$C12&amp;"', '"&amp;$D12&amp;"'),"</f>
        <v>(11, '2023-01-11T21:51:54', 'Ефимова Анастасия', 'CLOSED'),</v>
      </c>
    </row>
    <row r="13" customFormat="false" ht="12.8" hidden="false" customHeight="false" outlineLevel="0" collapsed="false">
      <c r="A13" s="2" t="n">
        <v>12</v>
      </c>
      <c r="B13" s="3" t="n">
        <v>44938.9110433281</v>
      </c>
      <c r="C13" s="2" t="s">
        <v>55</v>
      </c>
      <c r="D13" s="2" t="s">
        <v>11</v>
      </c>
      <c r="E13" s="0" t="str">
        <f aca="false">"("&amp;$A13&amp;", '"&amp;TEXT($B13,"YYYY-MM-DDTHH:MM:SS")&amp;"', '"&amp;$C13&amp;"', '"&amp;$D13&amp;"'),"</f>
        <v>(12, '2023-01-12T21:51:54', 'Александров Александр', 'CLOSED'),</v>
      </c>
    </row>
    <row r="14" customFormat="false" ht="12.8" hidden="false" customHeight="false" outlineLevel="0" collapsed="false">
      <c r="A14" s="2" t="n">
        <v>13</v>
      </c>
      <c r="B14" s="3" t="n">
        <v>44939.9110433281</v>
      </c>
      <c r="C14" s="2" t="s">
        <v>56</v>
      </c>
      <c r="D14" s="2" t="s">
        <v>11</v>
      </c>
      <c r="E14" s="0" t="str">
        <f aca="false">"("&amp;$A14&amp;", '"&amp;TEXT($B14,"YYYY-MM-DDTHH:MM:SS")&amp;"', '"&amp;$C14&amp;"', '"&amp;$D14&amp;"'),"</f>
        <v>(13, '2023-01-13T21:51:54', 'Гаврилова Виктория', 'CLOSED'),</v>
      </c>
    </row>
    <row r="15" customFormat="false" ht="12.8" hidden="false" customHeight="false" outlineLevel="0" collapsed="false">
      <c r="A15" s="2" t="n">
        <v>14</v>
      </c>
      <c r="B15" s="3" t="n">
        <v>44940.9110433281</v>
      </c>
      <c r="C15" s="2" t="s">
        <v>49</v>
      </c>
      <c r="D15" s="2" t="s">
        <v>11</v>
      </c>
      <c r="E15" s="0" t="str">
        <f aca="false">"("&amp;$A15&amp;", '"&amp;TEXT($B15,"YYYY-MM-DDTHH:MM:SS")&amp;"', '"&amp;$C15&amp;"', '"&amp;$D15&amp;"'),"</f>
        <v>(14, '2023-01-14T21:51:54', 'Грачева Милана', 'CLOSED'),</v>
      </c>
    </row>
    <row r="16" customFormat="false" ht="12.8" hidden="false" customHeight="false" outlineLevel="0" collapsed="false">
      <c r="A16" s="2" t="n">
        <v>15</v>
      </c>
      <c r="B16" s="3" t="n">
        <v>44941.9110433281</v>
      </c>
      <c r="C16" s="2" t="s">
        <v>57</v>
      </c>
      <c r="D16" s="2" t="s">
        <v>11</v>
      </c>
      <c r="E16" s="0" t="str">
        <f aca="false">"("&amp;$A16&amp;", '"&amp;TEXT($B16,"YYYY-MM-DDTHH:MM:SS")&amp;"', '"&amp;$C16&amp;"', '"&amp;$D16&amp;"'),"</f>
        <v>(15, '2023-01-15T21:51:54', 'Егоров Николай', 'CLOSED'),</v>
      </c>
    </row>
    <row r="17" customFormat="false" ht="12.8" hidden="false" customHeight="false" outlineLevel="0" collapsed="false">
      <c r="A17" s="2" t="n">
        <v>16</v>
      </c>
      <c r="B17" s="3" t="n">
        <v>44942.9110433281</v>
      </c>
      <c r="C17" s="2" t="s">
        <v>58</v>
      </c>
      <c r="D17" s="2" t="s">
        <v>11</v>
      </c>
      <c r="E17" s="0" t="str">
        <f aca="false">"("&amp;$A17&amp;", '"&amp;TEXT($B17,"YYYY-MM-DDTHH:MM:SS")&amp;"', '"&amp;$C17&amp;"', '"&amp;$D17&amp;"'),"</f>
        <v>(16, '2023-01-16T21:51:54', 'Мартынов Всеволод', 'CLOSED'),</v>
      </c>
    </row>
    <row r="18" customFormat="false" ht="12.8" hidden="false" customHeight="false" outlineLevel="0" collapsed="false">
      <c r="A18" s="2" t="n">
        <v>17</v>
      </c>
      <c r="B18" s="3" t="n">
        <v>44943.9110433281</v>
      </c>
      <c r="C18" s="2" t="s">
        <v>59</v>
      </c>
      <c r="D18" s="2" t="s">
        <v>11</v>
      </c>
      <c r="E18" s="0" t="str">
        <f aca="false">"("&amp;$A18&amp;", '"&amp;TEXT($B18,"YYYY-MM-DDTHH:MM:SS")&amp;"', '"&amp;$C18&amp;"', '"&amp;$D18&amp;"'),"</f>
        <v>(17, '2023-01-17T21:51:54', 'Ефремов Адам', 'CLOSED'),</v>
      </c>
    </row>
    <row r="19" customFormat="false" ht="12.8" hidden="false" customHeight="false" outlineLevel="0" collapsed="false">
      <c r="A19" s="2" t="n">
        <v>18</v>
      </c>
      <c r="B19" s="3" t="n">
        <v>44944.9110433281</v>
      </c>
      <c r="C19" s="2" t="s">
        <v>60</v>
      </c>
      <c r="D19" s="2" t="s">
        <v>46</v>
      </c>
      <c r="E19" s="0" t="str">
        <f aca="false">"("&amp;$A19&amp;", '"&amp;TEXT($B19,"YYYY-MM-DDTHH:MM:SS")&amp;"', '"&amp;$C19&amp;"', '"&amp;$D19&amp;"'),"</f>
        <v>(18, '2023-01-18T21:51:54', 'Скворцова Малика', 'CANCELED'),</v>
      </c>
    </row>
    <row r="20" customFormat="false" ht="12.8" hidden="false" customHeight="false" outlineLevel="0" collapsed="false">
      <c r="A20" s="2" t="n">
        <v>19</v>
      </c>
      <c r="B20" s="3" t="n">
        <v>44945.9110433281</v>
      </c>
      <c r="C20" s="2" t="s">
        <v>61</v>
      </c>
      <c r="D20" s="2" t="s">
        <v>11</v>
      </c>
      <c r="E20" s="0" t="str">
        <f aca="false">"("&amp;$A20&amp;", '"&amp;TEXT($B20,"YYYY-MM-DDTHH:MM:SS")&amp;"', '"&amp;$C20&amp;"', '"&amp;$D20&amp;"'),"</f>
        <v>(19, '2023-01-19T21:51:54', 'Миронова Татьяна', 'CLOSED'),</v>
      </c>
    </row>
    <row r="21" customFormat="false" ht="12.8" hidden="false" customHeight="false" outlineLevel="0" collapsed="false">
      <c r="A21" s="2" t="n">
        <v>20</v>
      </c>
      <c r="B21" s="3" t="n">
        <v>44946.9110433281</v>
      </c>
      <c r="C21" s="2" t="s">
        <v>62</v>
      </c>
      <c r="D21" s="2" t="s">
        <v>11</v>
      </c>
      <c r="E21" s="0" t="str">
        <f aca="false">"("&amp;$A21&amp;", '"&amp;TEXT($B21,"YYYY-MM-DDTHH:MM:SS")&amp;"', '"&amp;$C21&amp;"', '"&amp;$D21&amp;"'),"</f>
        <v>(20, '2023-01-20T21:51:54', 'Сергеев Владислав', 'CLOSED'),</v>
      </c>
    </row>
    <row r="22" customFormat="false" ht="12.8" hidden="false" customHeight="false" outlineLevel="0" collapsed="false">
      <c r="A22" s="2" t="n">
        <v>21</v>
      </c>
      <c r="B22" s="3" t="n">
        <v>44947.9110433281</v>
      </c>
      <c r="C22" s="2" t="s">
        <v>63</v>
      </c>
      <c r="D22" s="2" t="s">
        <v>11</v>
      </c>
      <c r="E22" s="0" t="str">
        <f aca="false">"("&amp;$A22&amp;", '"&amp;TEXT($B22,"YYYY-MM-DDTHH:MM:SS")&amp;"', '"&amp;$C22&amp;"', '"&amp;$D22&amp;"'),"</f>
        <v>(21, '2023-01-21T21:51:54', 'Медведев Егор', 'CLOSED'),</v>
      </c>
    </row>
    <row r="23" customFormat="false" ht="12.8" hidden="false" customHeight="false" outlineLevel="0" collapsed="false">
      <c r="A23" s="2" t="n">
        <v>22</v>
      </c>
      <c r="B23" s="3" t="n">
        <v>44948.9110433281</v>
      </c>
      <c r="C23" s="2" t="s">
        <v>64</v>
      </c>
      <c r="D23" s="2" t="s">
        <v>11</v>
      </c>
      <c r="E23" s="0" t="str">
        <f aca="false">"("&amp;$A23&amp;", '"&amp;TEXT($B23,"YYYY-MM-DDTHH:MM:SS")&amp;"', '"&amp;$C23&amp;"', '"&amp;$D23&amp;"'),"</f>
        <v>(22, '2023-01-22T21:51:54', 'Зеленина Агата', 'CLOSED'),</v>
      </c>
    </row>
    <row r="24" customFormat="false" ht="12.8" hidden="false" customHeight="false" outlineLevel="0" collapsed="false">
      <c r="A24" s="2" t="n">
        <v>23</v>
      </c>
      <c r="B24" s="3" t="n">
        <v>44949.9110433281</v>
      </c>
      <c r="C24" s="2" t="s">
        <v>65</v>
      </c>
      <c r="D24" s="2" t="s">
        <v>11</v>
      </c>
      <c r="E24" s="0" t="str">
        <f aca="false">"("&amp;$A24&amp;", '"&amp;TEXT($B24,"YYYY-MM-DDTHH:MM:SS")&amp;"', '"&amp;$C24&amp;"', '"&amp;$D24&amp;"'),"</f>
        <v>(23, '2023-01-23T21:51:54', 'Морозова Елизавета', 'CLOSED'),</v>
      </c>
    </row>
    <row r="25" customFormat="false" ht="12.8" hidden="false" customHeight="false" outlineLevel="0" collapsed="false">
      <c r="A25" s="2" t="n">
        <v>24</v>
      </c>
      <c r="B25" s="3" t="n">
        <v>44950.9110433281</v>
      </c>
      <c r="C25" s="2" t="s">
        <v>66</v>
      </c>
      <c r="D25" s="2" t="s">
        <v>46</v>
      </c>
      <c r="E25" s="0" t="str">
        <f aca="false">"("&amp;$A25&amp;", '"&amp;TEXT($B25,"YYYY-MM-DDTHH:MM:SS")&amp;"', '"&amp;$C25&amp;"', '"&amp;$D25&amp;"'),"</f>
        <v>(24, '2023-01-24T21:51:54', 'Ларин Максим', 'CANCELED'),</v>
      </c>
    </row>
    <row r="26" customFormat="false" ht="12.8" hidden="false" customHeight="false" outlineLevel="0" collapsed="false">
      <c r="A26" s="2" t="n">
        <v>25</v>
      </c>
      <c r="B26" s="3" t="n">
        <v>44951.9110433281</v>
      </c>
      <c r="C26" s="2" t="s">
        <v>67</v>
      </c>
      <c r="D26" s="2" t="s">
        <v>46</v>
      </c>
      <c r="E26" s="0" t="str">
        <f aca="false">"("&amp;$A26&amp;", '"&amp;TEXT($B26,"YYYY-MM-DDTHH:MM:SS")&amp;"', '"&amp;$C26&amp;"', '"&amp;$D26&amp;"'),"</f>
        <v>(25, '2023-01-25T21:51:54', 'Осипова Алина', 'CANCELED'),</v>
      </c>
    </row>
    <row r="27" customFormat="false" ht="12.8" hidden="false" customHeight="false" outlineLevel="0" collapsed="false">
      <c r="A27" s="2" t="n">
        <v>26</v>
      </c>
      <c r="B27" s="3" t="n">
        <v>44952.9110433281</v>
      </c>
      <c r="C27" s="2" t="s">
        <v>68</v>
      </c>
      <c r="D27" s="2" t="s">
        <v>11</v>
      </c>
      <c r="E27" s="0" t="str">
        <f aca="false">"("&amp;$A27&amp;", '"&amp;TEXT($B27,"YYYY-MM-DDTHH:MM:SS")&amp;"', '"&amp;$C27&amp;"', '"&amp;$D27&amp;"'),"</f>
        <v>(26, '2023-01-26T21:51:54', 'Захаров Александр', 'CLOSED'),</v>
      </c>
    </row>
    <row r="28" customFormat="false" ht="12.8" hidden="false" customHeight="false" outlineLevel="0" collapsed="false">
      <c r="A28" s="2" t="n">
        <v>27</v>
      </c>
      <c r="B28" s="3" t="n">
        <v>44953.9110433281</v>
      </c>
      <c r="C28" s="2" t="s">
        <v>61</v>
      </c>
      <c r="D28" s="2" t="s">
        <v>11</v>
      </c>
      <c r="E28" s="0" t="str">
        <f aca="false">"("&amp;$A28&amp;", '"&amp;TEXT($B28,"YYYY-MM-DDTHH:MM:SS")&amp;"', '"&amp;$C28&amp;"', '"&amp;$D28&amp;"'),"</f>
        <v>(27, '2023-01-27T21:51:54', 'Миронова Татьяна', 'CLOSED'),</v>
      </c>
    </row>
    <row r="29" customFormat="false" ht="12.8" hidden="false" customHeight="false" outlineLevel="0" collapsed="false">
      <c r="A29" s="2" t="n">
        <v>28</v>
      </c>
      <c r="B29" s="3" t="n">
        <v>44954.9110433281</v>
      </c>
      <c r="C29" s="2" t="s">
        <v>69</v>
      </c>
      <c r="D29" s="2" t="s">
        <v>11</v>
      </c>
      <c r="E29" s="0" t="str">
        <f aca="false">"("&amp;$A29&amp;", '"&amp;TEXT($B29,"YYYY-MM-DDTHH:MM:SS")&amp;"', '"&amp;$C29&amp;"', '"&amp;$D29&amp;"'),"</f>
        <v>(28, '2023-01-28T21:51:54', 'Сидорова Амелия', 'CLOSED'),</v>
      </c>
    </row>
    <row r="30" customFormat="false" ht="12.8" hidden="false" customHeight="false" outlineLevel="0" collapsed="false">
      <c r="A30" s="2" t="n">
        <v>29</v>
      </c>
      <c r="B30" s="3" t="n">
        <v>44955.9110433281</v>
      </c>
      <c r="C30" s="2" t="s">
        <v>57</v>
      </c>
      <c r="D30" s="2" t="s">
        <v>11</v>
      </c>
      <c r="E30" s="0" t="str">
        <f aca="false">"("&amp;$A30&amp;", '"&amp;TEXT($B30,"YYYY-MM-DDTHH:MM:SS")&amp;"', '"&amp;$C30&amp;"', '"&amp;$D30&amp;"'),"</f>
        <v>(29, '2023-01-29T21:51:54', 'Егоров Николай', 'CLOSED'),</v>
      </c>
    </row>
    <row r="31" customFormat="false" ht="12.8" hidden="false" customHeight="false" outlineLevel="0" collapsed="false">
      <c r="A31" s="2" t="n">
        <v>30</v>
      </c>
      <c r="B31" s="3" t="n">
        <v>44956.9110433281</v>
      </c>
      <c r="C31" s="2" t="s">
        <v>70</v>
      </c>
      <c r="D31" s="2" t="s">
        <v>11</v>
      </c>
      <c r="E31" s="0" t="str">
        <f aca="false">"("&amp;$A31&amp;", '"&amp;TEXT($B31,"YYYY-MM-DDTHH:MM:SS")&amp;"', '"&amp;$C31&amp;"', '"&amp;$D31&amp;"'),"</f>
        <v>(30, '2023-01-30T21:51:54', 'Зайцев Артур', 'CLOSED'),</v>
      </c>
    </row>
    <row r="32" customFormat="false" ht="12.8" hidden="false" customHeight="false" outlineLevel="0" collapsed="false">
      <c r="A32" s="2" t="n">
        <v>31</v>
      </c>
      <c r="B32" s="3" t="n">
        <v>44957.9110433281</v>
      </c>
      <c r="C32" s="2" t="s">
        <v>71</v>
      </c>
      <c r="D32" s="2" t="s">
        <v>11</v>
      </c>
      <c r="E32" s="0" t="str">
        <f aca="false">"("&amp;$A32&amp;", '"&amp;TEXT($B32,"YYYY-MM-DDTHH:MM:SS")&amp;"', '"&amp;$C32&amp;"', '"&amp;$D32&amp;"'),"</f>
        <v>(31, '2023-01-31T21:51:54', 'Семенова Кира', 'CLOSED'),</v>
      </c>
    </row>
    <row r="33" customFormat="false" ht="12.8" hidden="false" customHeight="false" outlineLevel="0" collapsed="false">
      <c r="A33" s="2" t="n">
        <v>32</v>
      </c>
      <c r="B33" s="3" t="n">
        <v>44958.9110433281</v>
      </c>
      <c r="C33" s="2" t="s">
        <v>72</v>
      </c>
      <c r="D33" s="2" t="s">
        <v>11</v>
      </c>
      <c r="E33" s="0" t="str">
        <f aca="false">"("&amp;$A33&amp;", '"&amp;TEXT($B33,"YYYY-MM-DDTHH:MM:SS")&amp;"', '"&amp;$C33&amp;"', '"&amp;$D33&amp;"'),"</f>
        <v>(32, '2023-02-01T21:51:54', 'Титова Софья', 'CLOSED'),</v>
      </c>
    </row>
    <row r="34" customFormat="false" ht="12.8" hidden="false" customHeight="false" outlineLevel="0" collapsed="false">
      <c r="A34" s="2" t="n">
        <v>33</v>
      </c>
      <c r="B34" s="3" t="n">
        <v>44959.9110433281</v>
      </c>
      <c r="C34" s="2" t="s">
        <v>73</v>
      </c>
      <c r="D34" s="2" t="s">
        <v>11</v>
      </c>
      <c r="E34" s="0" t="str">
        <f aca="false">"("&amp;$A34&amp;", '"&amp;TEXT($B34,"YYYY-MM-DDTHH:MM:SS")&amp;"', '"&amp;$C34&amp;"', '"&amp;$D34&amp;"'),"</f>
        <v>(33, '2023-02-02T21:51:54', 'Булгаков Андрей', 'CLOSED'),</v>
      </c>
    </row>
    <row r="35" customFormat="false" ht="12.8" hidden="false" customHeight="false" outlineLevel="0" collapsed="false">
      <c r="A35" s="2" t="n">
        <v>34</v>
      </c>
      <c r="B35" s="3" t="n">
        <v>44960.9110433281</v>
      </c>
      <c r="C35" s="2" t="s">
        <v>74</v>
      </c>
      <c r="D35" s="2" t="s">
        <v>75</v>
      </c>
      <c r="E35" s="0" t="str">
        <f aca="false">"("&amp;$A35&amp;", '"&amp;TEXT($B35,"YYYY-MM-DDTHH:MM:SS")&amp;"', '"&amp;$C35&amp;"', '"&amp;$D35&amp;"'),"</f>
        <v>(34, '2023-02-03T21:51:54', 'Иванова Анна', 'PROCESSING'),</v>
      </c>
    </row>
    <row r="36" customFormat="false" ht="12.8" hidden="false" customHeight="false" outlineLevel="0" collapsed="false">
      <c r="A36" s="2" t="n">
        <v>35</v>
      </c>
      <c r="B36" s="3" t="n">
        <v>44961.9110433281</v>
      </c>
      <c r="C36" s="2" t="s">
        <v>76</v>
      </c>
      <c r="D36" s="2" t="s">
        <v>11</v>
      </c>
      <c r="E36" s="0" t="str">
        <f aca="false">"("&amp;$A36&amp;", '"&amp;TEXT($B36,"YYYY-MM-DDTHH:MM:SS")&amp;"', '"&amp;$C36&amp;"', '"&amp;$D36&amp;"'),"</f>
        <v>(35, '2023-02-04T21:51:54', 'Дроздов Степан', 'CLOSED'),</v>
      </c>
    </row>
    <row r="37" customFormat="false" ht="12.8" hidden="false" customHeight="false" outlineLevel="0" collapsed="false">
      <c r="A37" s="2" t="n">
        <v>36</v>
      </c>
      <c r="B37" s="3" t="n">
        <v>44962.9110433281</v>
      </c>
      <c r="C37" s="2" t="s">
        <v>77</v>
      </c>
      <c r="D37" s="2" t="s">
        <v>75</v>
      </c>
      <c r="E37" s="0" t="str">
        <f aca="false">"("&amp;$A37&amp;", '"&amp;TEXT($B37,"YYYY-MM-DDTHH:MM:SS")&amp;"', '"&amp;$C37&amp;"', '"&amp;$D37&amp;"'),"</f>
        <v>(36, '2023-02-05T21:51:54', 'Федорова Варвара', 'PROCESSING'),</v>
      </c>
    </row>
    <row r="38" customFormat="false" ht="12.8" hidden="false" customHeight="false" outlineLevel="0" collapsed="false">
      <c r="A38" s="2" t="n">
        <v>37</v>
      </c>
      <c r="B38" s="3" t="n">
        <v>44963.9110433281</v>
      </c>
      <c r="C38" s="2" t="s">
        <v>78</v>
      </c>
      <c r="D38" s="2" t="s">
        <v>46</v>
      </c>
      <c r="E38" s="0" t="str">
        <f aca="false">"("&amp;$A38&amp;", '"&amp;TEXT($B38,"YYYY-MM-DDTHH:MM:SS")&amp;"', '"&amp;$C38&amp;"', '"&amp;$D38&amp;"'),"</f>
        <v>(37, '2023-02-06T21:51:54', 'Петрова Мария', 'CANCELED'),</v>
      </c>
    </row>
    <row r="39" customFormat="false" ht="12.8" hidden="false" customHeight="false" outlineLevel="0" collapsed="false">
      <c r="A39" s="2" t="n">
        <v>38</v>
      </c>
      <c r="B39" s="3" t="n">
        <v>44964.9110433281</v>
      </c>
      <c r="C39" s="2" t="s">
        <v>79</v>
      </c>
      <c r="D39" s="2" t="s">
        <v>11</v>
      </c>
      <c r="E39" s="0" t="str">
        <f aca="false">"("&amp;$A39&amp;", '"&amp;TEXT($B39,"YYYY-MM-DDTHH:MM:SS")&amp;"', '"&amp;$C39&amp;"', '"&amp;$D39&amp;"'),"</f>
        <v>(38, '2023-02-07T21:51:54', 'Александров Максим', 'CLOSED'),</v>
      </c>
    </row>
    <row r="40" customFormat="false" ht="12.8" hidden="false" customHeight="false" outlineLevel="0" collapsed="false">
      <c r="A40" s="2" t="n">
        <v>39</v>
      </c>
      <c r="B40" s="3" t="n">
        <v>44965.9110433281</v>
      </c>
      <c r="C40" s="2" t="s">
        <v>80</v>
      </c>
      <c r="D40" s="2" t="s">
        <v>75</v>
      </c>
      <c r="E40" s="0" t="str">
        <f aca="false">"("&amp;$A40&amp;", '"&amp;TEXT($B40,"YYYY-MM-DDTHH:MM:SS")&amp;"', '"&amp;$C40&amp;"', '"&amp;$D40&amp;"'),"</f>
        <v>(39, '2023-02-08T21:51:54', 'Тимофеев Александр', 'PROCESSING'),</v>
      </c>
    </row>
    <row r="41" customFormat="false" ht="12.8" hidden="false" customHeight="false" outlineLevel="0" collapsed="false">
      <c r="A41" s="2" t="n">
        <v>40</v>
      </c>
      <c r="B41" s="3" t="n">
        <v>44966.9110433281</v>
      </c>
      <c r="C41" s="2" t="s">
        <v>81</v>
      </c>
      <c r="D41" s="2" t="s">
        <v>75</v>
      </c>
      <c r="E41" s="0" t="str">
        <f aca="false">"("&amp;$A41&amp;", '"&amp;TEXT($B41,"YYYY-MM-DDTHH:MM:SS")&amp;"', '"&amp;$C41&amp;"', '"&amp;$D41&amp;"'),"</f>
        <v>(40, '2023-02-09T21:51:54', 'Калашникова Полина', 'PROCESSING'),</v>
      </c>
    </row>
    <row r="42" customFormat="false" ht="12.8" hidden="false" customHeight="false" outlineLevel="0" collapsed="false">
      <c r="A42" s="2" t="n">
        <v>41</v>
      </c>
      <c r="B42" s="3" t="n">
        <v>44967.9110433281</v>
      </c>
      <c r="C42" s="2" t="s">
        <v>82</v>
      </c>
      <c r="D42" s="2" t="s">
        <v>75</v>
      </c>
      <c r="E42" s="0" t="str">
        <f aca="false">"("&amp;$A42&amp;", '"&amp;TEXT($B42,"YYYY-MM-DDTHH:MM:SS")&amp;"', '"&amp;$C42&amp;"', '"&amp;$D42&amp;"'),"</f>
        <v>(41, '2023-02-10T21:51:54', 'Ильина Елена', 'PROCESSING'),</v>
      </c>
    </row>
    <row r="43" customFormat="false" ht="12.8" hidden="false" customHeight="false" outlineLevel="0" collapsed="false">
      <c r="A43" s="2" t="n">
        <v>42</v>
      </c>
      <c r="B43" s="3" t="n">
        <v>44968.9110433281</v>
      </c>
      <c r="C43" s="2" t="s">
        <v>83</v>
      </c>
      <c r="D43" s="2" t="s">
        <v>11</v>
      </c>
      <c r="E43" s="0" t="str">
        <f aca="false">"("&amp;$A43&amp;", '"&amp;TEXT($B43,"YYYY-MM-DDTHH:MM:SS")&amp;"', '"&amp;$C43&amp;"', '"&amp;$D43&amp;"'),"</f>
        <v>(42, '2023-02-11T21:51:54', 'Лазарев Глеб', 'CLOSED'),</v>
      </c>
    </row>
    <row r="44" customFormat="false" ht="12.8" hidden="false" customHeight="false" outlineLevel="0" collapsed="false">
      <c r="A44" s="2" t="n">
        <v>43</v>
      </c>
      <c r="B44" s="3" t="n">
        <v>44969.9110433281</v>
      </c>
      <c r="C44" s="2" t="s">
        <v>84</v>
      </c>
      <c r="D44" s="2" t="s">
        <v>75</v>
      </c>
      <c r="E44" s="0" t="str">
        <f aca="false">"("&amp;$A44&amp;", '"&amp;TEXT($B44,"YYYY-MM-DDTHH:MM:SS")&amp;"', '"&amp;$C44&amp;"', '"&amp;$D44&amp;"'),"</f>
        <v>(43, '2023-02-12T21:51:54', 'Кузнецова Татьяна', 'PROCESSING'),</v>
      </c>
    </row>
    <row r="45" customFormat="false" ht="12.8" hidden="false" customHeight="false" outlineLevel="0" collapsed="false">
      <c r="A45" s="2" t="n">
        <v>44</v>
      </c>
      <c r="B45" s="3" t="n">
        <v>44970.9110433281</v>
      </c>
      <c r="C45" s="2" t="s">
        <v>85</v>
      </c>
      <c r="D45" s="2" t="s">
        <v>11</v>
      </c>
      <c r="E45" s="0" t="str">
        <f aca="false">"("&amp;$A45&amp;", '"&amp;TEXT($B45,"YYYY-MM-DDTHH:MM:SS")&amp;"', '"&amp;$C45&amp;"', '"&amp;$D45&amp;"'),"</f>
        <v>(44, '2023-02-13T21:51:54', 'Попова Милана', 'CLOSED'),</v>
      </c>
    </row>
    <row r="46" customFormat="false" ht="12.8" hidden="false" customHeight="false" outlineLevel="0" collapsed="false">
      <c r="A46" s="2" t="n">
        <v>45</v>
      </c>
      <c r="B46" s="3" t="n">
        <v>44971.9110433281</v>
      </c>
      <c r="C46" s="2" t="s">
        <v>86</v>
      </c>
      <c r="D46" s="2" t="s">
        <v>11</v>
      </c>
      <c r="E46" s="0" t="str">
        <f aca="false">"("&amp;$A46&amp;", '"&amp;TEXT($B46,"YYYY-MM-DDTHH:MM:SS")&amp;"', '"&amp;$C46&amp;"', '"&amp;$D46&amp;"'),"</f>
        <v>(45, '2023-02-14T21:51:54', 'Лаптев Артём', 'CLOSED'),</v>
      </c>
    </row>
    <row r="47" customFormat="false" ht="12.8" hidden="false" customHeight="false" outlineLevel="0" collapsed="false">
      <c r="A47" s="2" t="n">
        <v>46</v>
      </c>
      <c r="B47" s="3" t="n">
        <v>44972.9110433281</v>
      </c>
      <c r="C47" s="2" t="s">
        <v>87</v>
      </c>
      <c r="D47" s="2" t="s">
        <v>75</v>
      </c>
      <c r="E47" s="0" t="str">
        <f aca="false">"("&amp;$A47&amp;", '"&amp;TEXT($B47,"YYYY-MM-DDTHH:MM:SS")&amp;"', '"&amp;$C47&amp;"', '"&amp;$D47&amp;"'),"</f>
        <v>(46, '2023-02-15T21:51:54', 'Владимирова Агния', 'PROCESSING'),</v>
      </c>
    </row>
    <row r="48" customFormat="false" ht="12.8" hidden="false" customHeight="false" outlineLevel="0" collapsed="false">
      <c r="A48" s="2" t="n">
        <v>47</v>
      </c>
      <c r="B48" s="3" t="n">
        <v>44973.9110433281</v>
      </c>
      <c r="C48" s="2" t="s">
        <v>88</v>
      </c>
      <c r="D48" s="2" t="s">
        <v>75</v>
      </c>
      <c r="E48" s="0" t="str">
        <f aca="false">"("&amp;$A48&amp;", '"&amp;TEXT($B48,"YYYY-MM-DDTHH:MM:SS")&amp;"', '"&amp;$C48&amp;"', '"&amp;$D48&amp;"'),"</f>
        <v>(47, '2023-02-16T21:51:54', 'Ефремов Виктор', 'PROCESSING'),</v>
      </c>
    </row>
    <row r="49" customFormat="false" ht="12.8" hidden="false" customHeight="false" outlineLevel="0" collapsed="false">
      <c r="A49" s="2" t="n">
        <v>48</v>
      </c>
      <c r="B49" s="3" t="n">
        <v>44974.9110433281</v>
      </c>
      <c r="C49" s="2" t="s">
        <v>89</v>
      </c>
      <c r="D49" s="2" t="s">
        <v>46</v>
      </c>
      <c r="E49" s="0" t="str">
        <f aca="false">"("&amp;$A49&amp;", '"&amp;TEXT($B49,"YYYY-MM-DDTHH:MM:SS")&amp;"', '"&amp;$C49&amp;"', '"&amp;$D49&amp;"'),"</f>
        <v>(48, '2023-02-17T21:51:54', 'Волков Матвей', 'CANCELED'),</v>
      </c>
    </row>
    <row r="50" customFormat="false" ht="12.8" hidden="false" customHeight="false" outlineLevel="0" collapsed="false">
      <c r="A50" s="2" t="n">
        <v>49</v>
      </c>
      <c r="B50" s="3" t="n">
        <v>44975.9110433281</v>
      </c>
      <c r="C50" s="2" t="s">
        <v>90</v>
      </c>
      <c r="D50" s="2" t="s">
        <v>75</v>
      </c>
      <c r="E50" s="0" t="str">
        <f aca="false">"("&amp;$A50&amp;", '"&amp;TEXT($B50,"YYYY-MM-DDTHH:MM:SS")&amp;"', '"&amp;$C50&amp;"', '"&amp;$D50&amp;"'),"</f>
        <v>(49, '2023-02-18T21:51:54', 'Пантелеева Елизавета', 'PROCESSING'),</v>
      </c>
    </row>
    <row r="51" customFormat="false" ht="12.8" hidden="false" customHeight="false" outlineLevel="0" collapsed="false">
      <c r="A51" s="2" t="n">
        <v>50</v>
      </c>
      <c r="B51" s="3" t="n">
        <v>44976.9110433281</v>
      </c>
      <c r="C51" s="2" t="s">
        <v>91</v>
      </c>
      <c r="D51" s="2" t="s">
        <v>11</v>
      </c>
      <c r="E51" s="0" t="str">
        <f aca="false">"("&amp;$A51&amp;", '"&amp;TEXT($B51,"YYYY-MM-DDTHH:MM:SS")&amp;"', '"&amp;$C51&amp;"', '"&amp;$D51&amp;"'),"</f>
        <v>(50, '2023-02-19T21:51:54', 'Тихонова Мария', 'CLOSED'),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44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E2" activeCellId="1" sqref="F1:F31 E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72"/>
    <col collapsed="false" customWidth="true" hidden="false" outlineLevel="0" max="2" min="2" style="0" width="7.83"/>
    <col collapsed="false" customWidth="true" hidden="false" outlineLevel="0" max="3" min="3" style="0" width="8.6"/>
    <col collapsed="false" customWidth="true" hidden="false" outlineLevel="0" max="4" min="4" style="0" width="8.97"/>
    <col collapsed="false" customWidth="true" hidden="false" outlineLevel="0" max="5" min="5" style="0" width="57.54"/>
    <col collapsed="false" customWidth="true" hidden="false" outlineLevel="0" max="6" min="6" style="0" width="8.08"/>
    <col collapsed="false" customWidth="true" hidden="false" outlineLevel="0" max="7" min="7" style="0" width="7.2"/>
    <col collapsed="false" customWidth="true" hidden="false" outlineLevel="0" max="8" min="8" style="0" width="7.77"/>
    <col collapsed="false" customWidth="true" hidden="false" outlineLevel="0" max="9" min="9" style="0" width="8.97"/>
  </cols>
  <sheetData>
    <row r="1" customFormat="false" ht="12.8" hidden="false" customHeight="false" outlineLevel="0" collapsed="false">
      <c r="A1" s="1" t="s">
        <v>92</v>
      </c>
      <c r="B1" s="1" t="s">
        <v>93</v>
      </c>
      <c r="C1" s="1" t="s">
        <v>94</v>
      </c>
      <c r="D1" s="1" t="s">
        <v>4</v>
      </c>
      <c r="E1" s="0" t="s">
        <v>95</v>
      </c>
      <c r="F1" s="0" t="s">
        <v>92</v>
      </c>
      <c r="G1" s="0" t="s">
        <v>93</v>
      </c>
      <c r="H1" s="0" t="s">
        <v>94</v>
      </c>
      <c r="I1" s="0" t="s">
        <v>4</v>
      </c>
    </row>
    <row r="2" customFormat="false" ht="12.8" hidden="false" customHeight="false" outlineLevel="0" collapsed="false">
      <c r="A2" s="2" t="n">
        <v>1</v>
      </c>
      <c r="B2" s="2" t="n">
        <v>23</v>
      </c>
      <c r="C2" s="2" t="n">
        <v>135</v>
      </c>
      <c r="D2" s="2" t="n">
        <v>7434.45</v>
      </c>
      <c r="E2" s="0" t="str">
        <f aca="false">"("&amp;$A2&amp;", "&amp;$B2&amp;", "&amp;$C2&amp;", "&amp;$D2&amp;"),"</f>
        <v>(1, 23, 135, 7434.45),</v>
      </c>
      <c r="F2" s="0" t="n">
        <v>1</v>
      </c>
      <c r="G2" s="0" t="n">
        <f aca="true">ROUND(RAND()*COUNT(items!$B:$B),0)</f>
        <v>26</v>
      </c>
      <c r="H2" s="0" t="n">
        <f aca="true">1+ROUND(EXP(10*RAND()-5),0)</f>
        <v>5</v>
      </c>
      <c r="I2" s="0" t="n">
        <f aca="true">ROUND(VLOOKUP(G2,items!$A$2:$E$31,5,0)*IF(RAND()&gt;0.5,1 - 0.5 * RAND(),1),2)</f>
        <v>3546.06</v>
      </c>
    </row>
    <row r="3" customFormat="false" ht="12.8" hidden="false" customHeight="false" outlineLevel="0" collapsed="false">
      <c r="A3" s="2" t="n">
        <v>1</v>
      </c>
      <c r="B3" s="2" t="n">
        <v>25</v>
      </c>
      <c r="C3" s="2" t="n">
        <v>2</v>
      </c>
      <c r="D3" s="2" t="n">
        <v>3216.71</v>
      </c>
      <c r="E3" s="0" t="str">
        <f aca="false">"("&amp;$A3&amp;", "&amp;$B3&amp;", "&amp;$C3&amp;", "&amp;$D3&amp;"),"</f>
        <v>(1, 25, 2, 3216.71),</v>
      </c>
      <c r="F3" s="0" t="n">
        <f aca="true">IF(RAND()&gt;0.5,F2+1,F2)</f>
        <v>2</v>
      </c>
      <c r="G3" s="0" t="n">
        <f aca="true">ROUND(RAND()*COUNT(items!$B:$B),0)</f>
        <v>27</v>
      </c>
      <c r="H3" s="0" t="n">
        <f aca="true">1+ROUND(EXP(10*RAND()-5),0)</f>
        <v>117</v>
      </c>
      <c r="I3" s="0" t="n">
        <f aca="true">ROUND(VLOOKUP(G3,items!$A$2:$E$31,5,0)*IF(RAND()&gt;0.5,1 - 0.5 * RAND(),1),2)</f>
        <v>8444.9</v>
      </c>
    </row>
    <row r="4" customFormat="false" ht="12.8" hidden="false" customHeight="false" outlineLevel="0" collapsed="false">
      <c r="A4" s="2" t="n">
        <v>2</v>
      </c>
      <c r="B4" s="2" t="n">
        <v>13</v>
      </c>
      <c r="C4" s="2" t="n">
        <v>13</v>
      </c>
      <c r="D4" s="2" t="n">
        <v>40228.93</v>
      </c>
      <c r="E4" s="0" t="str">
        <f aca="false">"("&amp;$A4&amp;", "&amp;$B4&amp;", "&amp;$C4&amp;", "&amp;$D4&amp;"),"</f>
        <v>(2, 13, 13, 40228.93),</v>
      </c>
      <c r="F4" s="0" t="n">
        <f aca="true">IF(RAND()&gt;0.5,F3+1,F3)</f>
        <v>3</v>
      </c>
      <c r="G4" s="0" t="n">
        <f aca="true">ROUND(RAND()*COUNT(items!$B:$B),0)</f>
        <v>24</v>
      </c>
      <c r="H4" s="0" t="n">
        <f aca="true">1+ROUND(EXP(10*RAND()-5),0)</f>
        <v>2</v>
      </c>
      <c r="I4" s="0" t="n">
        <f aca="true">ROUND(VLOOKUP(G4,items!$A$2:$E$31,5,0)*IF(RAND()&gt;0.5,1 - 0.5 * RAND(),1),2)</f>
        <v>5721.23</v>
      </c>
    </row>
    <row r="5" customFormat="false" ht="12.8" hidden="false" customHeight="false" outlineLevel="0" collapsed="false">
      <c r="A5" s="2" t="n">
        <v>2</v>
      </c>
      <c r="B5" s="2" t="n">
        <v>21</v>
      </c>
      <c r="C5" s="2" t="n">
        <v>8</v>
      </c>
      <c r="D5" s="2" t="n">
        <v>9805.56</v>
      </c>
      <c r="E5" s="0" t="str">
        <f aca="false">"("&amp;$A5&amp;", "&amp;$B5&amp;", "&amp;$C5&amp;", "&amp;$D5&amp;"),"</f>
        <v>(2, 21, 8, 9805.56),</v>
      </c>
      <c r="F5" s="0" t="n">
        <f aca="true">IF(RAND()&gt;0.5,F4+1,F4)</f>
        <v>3</v>
      </c>
      <c r="G5" s="0" t="n">
        <f aca="true">ROUND(RAND()*COUNT(items!$B:$B),0)</f>
        <v>15</v>
      </c>
      <c r="H5" s="0" t="n">
        <f aca="true">1+ROUND(EXP(10*RAND()-5),0)</f>
        <v>1</v>
      </c>
      <c r="I5" s="0" t="n">
        <f aca="true">ROUND(VLOOKUP(G5,items!$A$2:$E$31,5,0)*IF(RAND()&gt;0.5,1 - 0.5 * RAND(),1),2)</f>
        <v>8048.47</v>
      </c>
    </row>
    <row r="6" customFormat="false" ht="12.8" hidden="false" customHeight="false" outlineLevel="0" collapsed="false">
      <c r="A6" s="2" t="n">
        <v>3</v>
      </c>
      <c r="B6" s="2" t="n">
        <v>7</v>
      </c>
      <c r="C6" s="2" t="n">
        <v>5</v>
      </c>
      <c r="D6" s="2" t="n">
        <v>2311.91</v>
      </c>
      <c r="E6" s="0" t="str">
        <f aca="false">"("&amp;$A6&amp;", "&amp;$B6&amp;", "&amp;$C6&amp;", "&amp;$D6&amp;"),"</f>
        <v>(3, 7, 5, 2311.91),</v>
      </c>
      <c r="F6" s="0" t="n">
        <f aca="true">IF(RAND()&gt;0.5,F5+1,F5)</f>
        <v>4</v>
      </c>
      <c r="G6" s="0" t="n">
        <f aca="true">ROUND(RAND()*COUNT(items!$B:$B),0)</f>
        <v>27</v>
      </c>
      <c r="H6" s="0" t="n">
        <f aca="true">1+ROUND(EXP(10*RAND()-5),0)</f>
        <v>1</v>
      </c>
      <c r="I6" s="0" t="n">
        <f aca="true">ROUND(VLOOKUP(G6,items!$A$2:$E$31,5,0)*IF(RAND()&gt;0.5,1 - 0.5 * RAND(),1),2)</f>
        <v>7909.6</v>
      </c>
    </row>
    <row r="7" customFormat="false" ht="12.8" hidden="false" customHeight="false" outlineLevel="0" collapsed="false">
      <c r="A7" s="2" t="n">
        <v>4</v>
      </c>
      <c r="B7" s="2" t="n">
        <v>21</v>
      </c>
      <c r="C7" s="2" t="n">
        <v>39</v>
      </c>
      <c r="D7" s="2" t="n">
        <v>5795.53</v>
      </c>
      <c r="E7" s="0" t="str">
        <f aca="false">"("&amp;$A7&amp;", "&amp;$B7&amp;", "&amp;$C7&amp;", "&amp;$D7&amp;"),"</f>
        <v>(4, 21, 39, 5795.53),</v>
      </c>
      <c r="F7" s="0" t="n">
        <f aca="true">IF(RAND()&gt;0.5,F6+1,F6)</f>
        <v>5</v>
      </c>
      <c r="G7" s="0" t="n">
        <f aca="true">ROUND(RAND()*COUNT(items!$B:$B),0)</f>
        <v>8</v>
      </c>
      <c r="H7" s="0" t="n">
        <f aca="true">1+ROUND(EXP(10*RAND()-5),0)</f>
        <v>9</v>
      </c>
      <c r="I7" s="0" t="n">
        <f aca="true">ROUND(VLOOKUP(G7,items!$A$2:$E$31,5,0)*IF(RAND()&gt;0.5,1 - 0.5 * RAND(),1),2)</f>
        <v>1105.23</v>
      </c>
    </row>
    <row r="8" customFormat="false" ht="12.8" hidden="false" customHeight="false" outlineLevel="0" collapsed="false">
      <c r="A8" s="2" t="n">
        <v>4</v>
      </c>
      <c r="B8" s="2" t="n">
        <v>9</v>
      </c>
      <c r="C8" s="2" t="n">
        <v>1</v>
      </c>
      <c r="D8" s="2" t="n">
        <v>6637.32</v>
      </c>
      <c r="E8" s="0" t="str">
        <f aca="false">"("&amp;$A8&amp;", "&amp;$B8&amp;", "&amp;$C8&amp;", "&amp;$D8&amp;"),"</f>
        <v>(4, 9, 1, 6637.32),</v>
      </c>
      <c r="F8" s="0" t="n">
        <f aca="true">IF(RAND()&gt;0.5,F7+1,F7)</f>
        <v>5</v>
      </c>
      <c r="G8" s="0" t="n">
        <f aca="true">ROUND(RAND()*COUNT(items!$B:$B),0)</f>
        <v>13</v>
      </c>
      <c r="H8" s="0" t="n">
        <f aca="true">1+ROUND(EXP(10*RAND()-5),0)</f>
        <v>1</v>
      </c>
      <c r="I8" s="0" t="n">
        <f aca="true">ROUND(VLOOKUP(G8,items!$A$2:$E$31,5,0)*IF(RAND()&gt;0.5,1 - 0.5 * RAND(),1),2)</f>
        <v>21809.37</v>
      </c>
    </row>
    <row r="9" customFormat="false" ht="12.8" hidden="false" customHeight="false" outlineLevel="0" collapsed="false">
      <c r="A9" s="2" t="n">
        <v>4</v>
      </c>
      <c r="B9" s="2" t="n">
        <v>3</v>
      </c>
      <c r="C9" s="2" t="n">
        <v>4</v>
      </c>
      <c r="D9" s="2" t="n">
        <v>4007.89</v>
      </c>
      <c r="E9" s="0" t="str">
        <f aca="false">"("&amp;$A9&amp;", "&amp;$B9&amp;", "&amp;$C9&amp;", "&amp;$D9&amp;"),"</f>
        <v>(4, 3, 4, 4007.89),</v>
      </c>
      <c r="F9" s="0" t="n">
        <f aca="true">IF(RAND()&gt;0.5,F8+1,F8)</f>
        <v>6</v>
      </c>
      <c r="G9" s="0" t="n">
        <f aca="true">ROUND(RAND()*COUNT(items!$B:$B),0)</f>
        <v>25</v>
      </c>
      <c r="H9" s="0" t="n">
        <f aca="true">1+ROUND(EXP(10*RAND()-5),0)</f>
        <v>1</v>
      </c>
      <c r="I9" s="0" t="n">
        <f aca="true">ROUND(VLOOKUP(G9,items!$A$2:$E$31,5,0)*IF(RAND()&gt;0.5,1 - 0.5 * RAND(),1),2)</f>
        <v>2835.75</v>
      </c>
    </row>
    <row r="10" customFormat="false" ht="12.8" hidden="false" customHeight="false" outlineLevel="0" collapsed="false">
      <c r="A10" s="2" t="n">
        <v>4</v>
      </c>
      <c r="B10" s="2" t="n">
        <v>2</v>
      </c>
      <c r="C10" s="2" t="n">
        <v>1</v>
      </c>
      <c r="D10" s="2" t="n">
        <v>942.22</v>
      </c>
      <c r="E10" s="0" t="str">
        <f aca="false">"("&amp;$A10&amp;", "&amp;$B10&amp;", "&amp;$C10&amp;", "&amp;$D10&amp;"),"</f>
        <v>(4, 2, 1, 942.22),</v>
      </c>
      <c r="F10" s="0" t="n">
        <f aca="true">IF(RAND()&gt;0.5,F9+1,F9)</f>
        <v>6</v>
      </c>
      <c r="G10" s="0" t="n">
        <f aca="true">ROUND(RAND()*COUNT(items!$B:$B),0)</f>
        <v>9</v>
      </c>
      <c r="H10" s="0" t="n">
        <f aca="true">1+ROUND(EXP(10*RAND()-5),0)</f>
        <v>1</v>
      </c>
      <c r="I10" s="0" t="n">
        <f aca="true">ROUND(VLOOKUP(G10,items!$A$2:$E$31,5,0)*IF(RAND()&gt;0.5,1 - 0.5 * RAND(),1),2)</f>
        <v>6637.32</v>
      </c>
    </row>
    <row r="11" customFormat="false" ht="12.8" hidden="false" customHeight="false" outlineLevel="0" collapsed="false">
      <c r="A11" s="2" t="n">
        <v>4</v>
      </c>
      <c r="B11" s="2" t="n">
        <v>14</v>
      </c>
      <c r="C11" s="2" t="n">
        <v>1</v>
      </c>
      <c r="D11" s="2" t="n">
        <v>9874.66</v>
      </c>
      <c r="E11" s="0" t="str">
        <f aca="false">"("&amp;$A11&amp;", "&amp;$B11&amp;", "&amp;$C11&amp;", "&amp;$D11&amp;"),"</f>
        <v>(4, 14, 1, 9874.66),</v>
      </c>
      <c r="F11" s="0" t="n">
        <f aca="true">IF(RAND()&gt;0.5,F10+1,F10)</f>
        <v>6</v>
      </c>
      <c r="G11" s="0" t="n">
        <f aca="true">ROUND(RAND()*COUNT(items!$B:$B),0)</f>
        <v>28</v>
      </c>
      <c r="H11" s="0" t="n">
        <f aca="true">1+ROUND(EXP(10*RAND()-5),0)</f>
        <v>6</v>
      </c>
      <c r="I11" s="0" t="n">
        <f aca="true">ROUND(VLOOKUP(G11,items!$A$2:$E$31,5,0)*IF(RAND()&gt;0.5,1 - 0.5 * RAND(),1),2)</f>
        <v>8048.75</v>
      </c>
    </row>
    <row r="12" customFormat="false" ht="12.8" hidden="false" customHeight="false" outlineLevel="0" collapsed="false">
      <c r="A12" s="2" t="n">
        <v>5</v>
      </c>
      <c r="B12" s="2" t="n">
        <v>9</v>
      </c>
      <c r="C12" s="2" t="n">
        <v>1</v>
      </c>
      <c r="D12" s="2" t="n">
        <v>3534.22</v>
      </c>
      <c r="E12" s="0" t="str">
        <f aca="false">"("&amp;$A12&amp;", "&amp;$B12&amp;", "&amp;$C12&amp;", "&amp;$D12&amp;"),"</f>
        <v>(5, 9, 1, 3534.22),</v>
      </c>
      <c r="F12" s="0" t="n">
        <f aca="true">IF(RAND()&gt;0.5,F11+1,F11)</f>
        <v>6</v>
      </c>
      <c r="G12" s="0" t="n">
        <f aca="true">ROUND(RAND()*COUNT(items!$B:$B),0)</f>
        <v>28</v>
      </c>
      <c r="H12" s="0" t="n">
        <f aca="true">1+ROUND(EXP(10*RAND()-5),0)</f>
        <v>12</v>
      </c>
      <c r="I12" s="0" t="n">
        <f aca="true">ROUND(VLOOKUP(G12,items!$A$2:$E$31,5,0)*IF(RAND()&gt;0.5,1 - 0.5 * RAND(),1),2)</f>
        <v>10044.23</v>
      </c>
    </row>
    <row r="13" customFormat="false" ht="12.8" hidden="false" customHeight="false" outlineLevel="0" collapsed="false">
      <c r="A13" s="2" t="n">
        <v>5</v>
      </c>
      <c r="B13" s="2" t="n">
        <v>19</v>
      </c>
      <c r="C13" s="2" t="n">
        <v>1</v>
      </c>
      <c r="D13" s="2" t="n">
        <v>12504.17</v>
      </c>
      <c r="E13" s="0" t="str">
        <f aca="false">"("&amp;$A13&amp;", "&amp;$B13&amp;", "&amp;$C13&amp;", "&amp;$D13&amp;"),"</f>
        <v>(5, 19, 1, 12504.17),</v>
      </c>
      <c r="F13" s="0" t="n">
        <f aca="true">IF(RAND()&gt;0.5,F12+1,F12)</f>
        <v>6</v>
      </c>
      <c r="G13" s="0" t="n">
        <f aca="true">ROUND(RAND()*COUNT(items!$B:$B),0)</f>
        <v>2</v>
      </c>
      <c r="H13" s="0" t="n">
        <f aca="true">1+ROUND(EXP(10*RAND()-5),0)</f>
        <v>45</v>
      </c>
      <c r="I13" s="0" t="n">
        <f aca="true">ROUND(VLOOKUP(G13,items!$A$2:$E$31,5,0)*IF(RAND()&gt;0.5,1 - 0.5 * RAND(),1),2)</f>
        <v>932.96</v>
      </c>
    </row>
    <row r="14" customFormat="false" ht="12.8" hidden="false" customHeight="false" outlineLevel="0" collapsed="false">
      <c r="A14" s="2" t="n">
        <v>6</v>
      </c>
      <c r="B14" s="2" t="n">
        <v>9</v>
      </c>
      <c r="C14" s="2" t="n">
        <v>1</v>
      </c>
      <c r="D14" s="2" t="n">
        <v>5150.79</v>
      </c>
      <c r="E14" s="0" t="str">
        <f aca="false">"("&amp;$A14&amp;", "&amp;$B14&amp;", "&amp;$C14&amp;", "&amp;$D14&amp;"),"</f>
        <v>(6, 9, 1, 5150.79),</v>
      </c>
      <c r="F14" s="0" t="n">
        <f aca="true">IF(RAND()&gt;0.5,F13+1,F13)</f>
        <v>6</v>
      </c>
      <c r="G14" s="0" t="n">
        <f aca="true">ROUND(RAND()*COUNT(items!$B:$B),0)</f>
        <v>26</v>
      </c>
      <c r="H14" s="0" t="n">
        <f aca="true">1+ROUND(EXP(10*RAND()-5),0)</f>
        <v>1</v>
      </c>
      <c r="I14" s="0" t="n">
        <f aca="true">ROUND(VLOOKUP(G14,items!$A$2:$E$31,5,0)*IF(RAND()&gt;0.5,1 - 0.5 * RAND(),1),2)</f>
        <v>3364.25</v>
      </c>
    </row>
    <row r="15" customFormat="false" ht="12.8" hidden="false" customHeight="false" outlineLevel="0" collapsed="false">
      <c r="A15" s="2" t="n">
        <v>7</v>
      </c>
      <c r="B15" s="2" t="n">
        <v>18</v>
      </c>
      <c r="C15" s="2" t="n">
        <v>14</v>
      </c>
      <c r="D15" s="2" t="n">
        <v>20459.15</v>
      </c>
      <c r="E15" s="0" t="str">
        <f aca="false">"("&amp;$A15&amp;", "&amp;$B15&amp;", "&amp;$C15&amp;", "&amp;$D15&amp;"),"</f>
        <v>(7, 18, 14, 20459.15),</v>
      </c>
      <c r="F15" s="0" t="n">
        <f aca="true">IF(RAND()&gt;0.5,F14+1,F14)</f>
        <v>7</v>
      </c>
      <c r="G15" s="0" t="n">
        <f aca="true">ROUND(RAND()*COUNT(items!$B:$B),0)</f>
        <v>10</v>
      </c>
      <c r="H15" s="0" t="n">
        <f aca="true">1+ROUND(EXP(10*RAND()-5),0)</f>
        <v>1</v>
      </c>
      <c r="I15" s="0" t="n">
        <f aca="true">ROUND(VLOOKUP(G15,items!$A$2:$E$31,5,0)*IF(RAND()&gt;0.5,1 - 0.5 * RAND(),1),2)</f>
        <v>7964.91</v>
      </c>
    </row>
    <row r="16" customFormat="false" ht="12.8" hidden="false" customHeight="false" outlineLevel="0" collapsed="false">
      <c r="A16" s="2" t="n">
        <v>8</v>
      </c>
      <c r="B16" s="2" t="n">
        <v>28</v>
      </c>
      <c r="C16" s="2" t="n">
        <v>4</v>
      </c>
      <c r="D16" s="2" t="n">
        <v>7844.39</v>
      </c>
      <c r="E16" s="0" t="str">
        <f aca="false">"("&amp;$A16&amp;", "&amp;$B16&amp;", "&amp;$C16&amp;", "&amp;$D16&amp;"),"</f>
        <v>(8, 28, 4, 7844.39),</v>
      </c>
      <c r="F16" s="0" t="n">
        <f aca="true">IF(RAND()&gt;0.5,F15+1,F15)</f>
        <v>7</v>
      </c>
      <c r="G16" s="0" t="n">
        <f aca="true">ROUND(RAND()*COUNT(items!$B:$B),0)</f>
        <v>8</v>
      </c>
      <c r="H16" s="0" t="n">
        <f aca="true">1+ROUND(EXP(10*RAND()-5),0)</f>
        <v>21</v>
      </c>
      <c r="I16" s="0" t="n">
        <f aca="true">ROUND(VLOOKUP(G16,items!$A$2:$E$31,5,0)*IF(RAND()&gt;0.5,1 - 0.5 * RAND(),1),2)</f>
        <v>1424.93</v>
      </c>
    </row>
    <row r="17" customFormat="false" ht="12.8" hidden="false" customHeight="false" outlineLevel="0" collapsed="false">
      <c r="A17" s="2" t="n">
        <v>8</v>
      </c>
      <c r="B17" s="2" t="n">
        <v>1</v>
      </c>
      <c r="C17" s="2" t="n">
        <v>1</v>
      </c>
      <c r="D17" s="2" t="n">
        <v>2315.14</v>
      </c>
      <c r="E17" s="0" t="str">
        <f aca="false">"("&amp;$A17&amp;", "&amp;$B17&amp;", "&amp;$C17&amp;", "&amp;$D17&amp;"),"</f>
        <v>(8, 1, 1, 2315.14),</v>
      </c>
      <c r="F17" s="0" t="n">
        <f aca="true">IF(RAND()&gt;0.5,F16+1,F16)</f>
        <v>8</v>
      </c>
      <c r="G17" s="0" t="n">
        <f aca="true">ROUND(RAND()*COUNT(items!$B:$B),0)</f>
        <v>12</v>
      </c>
      <c r="H17" s="0" t="n">
        <f aca="true">1+ROUND(EXP(10*RAND()-5),0)</f>
        <v>3</v>
      </c>
      <c r="I17" s="0" t="n">
        <f aca="true">ROUND(VLOOKUP(G17,items!$A$2:$E$31,5,0)*IF(RAND()&gt;0.5,1 - 0.5 * RAND(),1),2)</f>
        <v>17723.85</v>
      </c>
    </row>
    <row r="18" customFormat="false" ht="12.8" hidden="false" customHeight="false" outlineLevel="0" collapsed="false">
      <c r="A18" s="2" t="n">
        <v>9</v>
      </c>
      <c r="B18" s="2" t="n">
        <v>22</v>
      </c>
      <c r="C18" s="2" t="n">
        <v>28</v>
      </c>
      <c r="D18" s="2" t="n">
        <v>18178.69</v>
      </c>
      <c r="E18" s="0" t="str">
        <f aca="false">"("&amp;$A18&amp;", "&amp;$B18&amp;", "&amp;$C18&amp;", "&amp;$D18&amp;"),"</f>
        <v>(9, 22, 28, 18178.69),</v>
      </c>
      <c r="F18" s="0" t="n">
        <f aca="true">IF(RAND()&gt;0.5,F17+1,F17)</f>
        <v>8</v>
      </c>
      <c r="G18" s="0" t="n">
        <f aca="true">ROUND(RAND()*COUNT(items!$B:$B),0)</f>
        <v>20</v>
      </c>
      <c r="H18" s="0" t="n">
        <f aca="true">1+ROUND(EXP(10*RAND()-5),0)</f>
        <v>1</v>
      </c>
      <c r="I18" s="0" t="n">
        <f aca="true">ROUND(VLOOKUP(G18,items!$A$2:$E$31,5,0)*IF(RAND()&gt;0.5,1 - 0.5 * RAND(),1),2)</f>
        <v>4367.9</v>
      </c>
    </row>
    <row r="19" customFormat="false" ht="12.8" hidden="false" customHeight="false" outlineLevel="0" collapsed="false">
      <c r="A19" s="2" t="n">
        <v>10</v>
      </c>
      <c r="B19" s="2" t="n">
        <v>24</v>
      </c>
      <c r="C19" s="2" t="n">
        <v>1</v>
      </c>
      <c r="D19" s="2" t="n">
        <v>3301.05</v>
      </c>
      <c r="E19" s="0" t="str">
        <f aca="false">"("&amp;$A19&amp;", "&amp;$B19&amp;", "&amp;$C19&amp;", "&amp;$D19&amp;"),"</f>
        <v>(10, 24, 1, 3301.05),</v>
      </c>
      <c r="F19" s="0" t="n">
        <f aca="true">IF(RAND()&gt;0.5,F18+1,F18)</f>
        <v>8</v>
      </c>
      <c r="G19" s="0" t="n">
        <f aca="true">ROUND(RAND()*COUNT(items!$B:$B),0)</f>
        <v>15</v>
      </c>
      <c r="H19" s="0" t="n">
        <f aca="true">1+ROUND(EXP(10*RAND()-5),0)</f>
        <v>1</v>
      </c>
      <c r="I19" s="0" t="n">
        <f aca="true">ROUND(VLOOKUP(G19,items!$A$2:$E$31,5,0)*IF(RAND()&gt;0.5,1 - 0.5 * RAND(),1),2)</f>
        <v>4726.52</v>
      </c>
    </row>
    <row r="20" customFormat="false" ht="12.8" hidden="false" customHeight="false" outlineLevel="0" collapsed="false">
      <c r="A20" s="2" t="n">
        <v>10</v>
      </c>
      <c r="B20" s="2" t="n">
        <v>25</v>
      </c>
      <c r="C20" s="2" t="n">
        <v>1</v>
      </c>
      <c r="D20" s="2" t="n">
        <v>4078.81</v>
      </c>
      <c r="E20" s="0" t="str">
        <f aca="false">"("&amp;$A20&amp;", "&amp;$B20&amp;", "&amp;$C20&amp;", "&amp;$D20&amp;"),"</f>
        <v>(10, 25, 1, 4078.81),</v>
      </c>
      <c r="F20" s="0" t="n">
        <f aca="true">IF(RAND()&gt;0.5,F19+1,F19)</f>
        <v>8</v>
      </c>
      <c r="G20" s="0" t="n">
        <f aca="true">ROUND(RAND()*COUNT(items!$B:$B),0)</f>
        <v>30</v>
      </c>
      <c r="H20" s="0" t="n">
        <f aca="true">1+ROUND(EXP(10*RAND()-5),0)</f>
        <v>6</v>
      </c>
      <c r="I20" s="0" t="n">
        <f aca="true">ROUND(VLOOKUP(G20,items!$A$2:$E$31,5,0)*IF(RAND()&gt;0.5,1 - 0.5 * RAND(),1),2)</f>
        <v>3062.81</v>
      </c>
    </row>
    <row r="21" customFormat="false" ht="12.8" hidden="false" customHeight="false" outlineLevel="0" collapsed="false">
      <c r="A21" s="2" t="n">
        <v>11</v>
      </c>
      <c r="B21" s="2" t="n">
        <v>26</v>
      </c>
      <c r="C21" s="2" t="n">
        <v>1</v>
      </c>
      <c r="D21" s="2" t="n">
        <v>3546.06</v>
      </c>
      <c r="E21" s="0" t="str">
        <f aca="false">"("&amp;$A21&amp;", "&amp;$B21&amp;", "&amp;$C21&amp;", "&amp;$D21&amp;"),"</f>
        <v>(11, 26, 1, 3546.06),</v>
      </c>
      <c r="F21" s="0" t="n">
        <f aca="true">IF(RAND()&gt;0.5,F20+1,F20)</f>
        <v>9</v>
      </c>
      <c r="G21" s="0" t="n">
        <f aca="true">ROUND(RAND()*COUNT(items!$B:$B),0)</f>
        <v>22</v>
      </c>
      <c r="H21" s="0" t="n">
        <f aca="true">1+ROUND(EXP(10*RAND()-5),0)</f>
        <v>6</v>
      </c>
      <c r="I21" s="0" t="n">
        <f aca="true">ROUND(VLOOKUP(G21,items!$A$2:$E$31,5,0)*IF(RAND()&gt;0.5,1 - 0.5 * RAND(),1),2)</f>
        <v>28126.56</v>
      </c>
    </row>
    <row r="22" customFormat="false" ht="12.8" hidden="false" customHeight="false" outlineLevel="0" collapsed="false">
      <c r="A22" s="2" t="n">
        <v>12</v>
      </c>
      <c r="B22" s="2" t="n">
        <v>6</v>
      </c>
      <c r="C22" s="2" t="n">
        <v>1</v>
      </c>
      <c r="D22" s="2" t="n">
        <v>2136.44</v>
      </c>
      <c r="E22" s="0" t="str">
        <f aca="false">"("&amp;$A22&amp;", "&amp;$B22&amp;", "&amp;$C22&amp;", "&amp;$D22&amp;"),"</f>
        <v>(12, 6, 1, 2136.44),</v>
      </c>
      <c r="F22" s="0" t="n">
        <f aca="true">IF(RAND()&gt;0.5,F21+1,F21)</f>
        <v>10</v>
      </c>
      <c r="G22" s="0" t="n">
        <f aca="true">ROUND(RAND()*COUNT(items!$B:$B),0)</f>
        <v>27</v>
      </c>
      <c r="H22" s="0" t="n">
        <f aca="true">1+ROUND(EXP(10*RAND()-5),0)</f>
        <v>2</v>
      </c>
      <c r="I22" s="0" t="n">
        <f aca="true">ROUND(VLOOKUP(G22,items!$A$2:$E$31,5,0)*IF(RAND()&gt;0.5,1 - 0.5 * RAND(),1),2)</f>
        <v>9215.76</v>
      </c>
    </row>
    <row r="23" customFormat="false" ht="12.8" hidden="false" customHeight="false" outlineLevel="0" collapsed="false">
      <c r="A23" s="2" t="n">
        <v>12</v>
      </c>
      <c r="B23" s="2" t="n">
        <v>27</v>
      </c>
      <c r="C23" s="2" t="n">
        <v>1</v>
      </c>
      <c r="D23" s="2" t="n">
        <v>9215.76</v>
      </c>
      <c r="E23" s="0" t="str">
        <f aca="false">"("&amp;$A23&amp;", "&amp;$B23&amp;", "&amp;$C23&amp;", "&amp;$D23&amp;"),"</f>
        <v>(12, 27, 1, 9215.76),</v>
      </c>
      <c r="F23" s="0" t="n">
        <f aca="true">IF(RAND()&gt;0.5,F22+1,F22)</f>
        <v>11</v>
      </c>
      <c r="G23" s="0" t="n">
        <f aca="true">ROUND(RAND()*COUNT(items!$B:$B),0)</f>
        <v>2</v>
      </c>
      <c r="H23" s="0" t="n">
        <f aca="true">1+ROUND(EXP(10*RAND()-5),0)</f>
        <v>1</v>
      </c>
      <c r="I23" s="0" t="n">
        <f aca="true">ROUND(VLOOKUP(G23,items!$A$2:$E$31,5,0)*IF(RAND()&gt;0.5,1 - 0.5 * RAND(),1),2)</f>
        <v>1835.93</v>
      </c>
    </row>
    <row r="24" customFormat="false" ht="12.8" hidden="false" customHeight="false" outlineLevel="0" collapsed="false">
      <c r="A24" s="2" t="n">
        <v>13</v>
      </c>
      <c r="B24" s="2" t="n">
        <v>19</v>
      </c>
      <c r="C24" s="2" t="n">
        <v>63</v>
      </c>
      <c r="D24" s="2" t="n">
        <v>12504.17</v>
      </c>
      <c r="E24" s="0" t="str">
        <f aca="false">"("&amp;$A24&amp;", "&amp;$B24&amp;", "&amp;$C24&amp;", "&amp;$D24&amp;"),"</f>
        <v>(13, 19, 63, 12504.17),</v>
      </c>
      <c r="F24" s="0" t="n">
        <f aca="true">IF(RAND()&gt;0.5,F23+1,F23)</f>
        <v>11</v>
      </c>
      <c r="G24" s="0" t="n">
        <f aca="true">ROUND(RAND()*COUNT(items!$B:$B),0)</f>
        <v>6</v>
      </c>
      <c r="H24" s="0" t="n">
        <f aca="true">1+ROUND(EXP(10*RAND()-5),0)</f>
        <v>1</v>
      </c>
      <c r="I24" s="0" t="n">
        <f aca="true">ROUND(VLOOKUP(G24,items!$A$2:$E$31,5,0)*IF(RAND()&gt;0.5,1 - 0.5 * RAND(),1),2)</f>
        <v>2299.84</v>
      </c>
    </row>
    <row r="25" customFormat="false" ht="12.8" hidden="false" customHeight="false" outlineLevel="0" collapsed="false">
      <c r="A25" s="2" t="n">
        <v>13</v>
      </c>
      <c r="B25" s="2" t="n">
        <v>16</v>
      </c>
      <c r="C25" s="2" t="n">
        <v>5</v>
      </c>
      <c r="D25" s="2" t="n">
        <v>20536.69</v>
      </c>
      <c r="E25" s="0" t="str">
        <f aca="false">"("&amp;$A25&amp;", "&amp;$B25&amp;", "&amp;$C25&amp;", "&amp;$D25&amp;"),"</f>
        <v>(13, 16, 5, 20536.69),</v>
      </c>
      <c r="F25" s="0" t="n">
        <f aca="true">IF(RAND()&gt;0.5,F24+1,F24)</f>
        <v>11</v>
      </c>
      <c r="G25" s="0" t="n">
        <f aca="true">ROUND(RAND()*COUNT(items!$B:$B),0)</f>
        <v>17</v>
      </c>
      <c r="H25" s="0" t="n">
        <f aca="true">1+ROUND(EXP(10*RAND()-5),0)</f>
        <v>2</v>
      </c>
      <c r="I25" s="0" t="n">
        <f aca="true">ROUND(VLOOKUP(G25,items!$A$2:$E$31,5,0)*IF(RAND()&gt;0.5,1 - 0.5 * RAND(),1),2)</f>
        <v>20355.5</v>
      </c>
    </row>
    <row r="26" customFormat="false" ht="12.8" hidden="false" customHeight="false" outlineLevel="0" collapsed="false">
      <c r="A26" s="2" t="n">
        <v>14</v>
      </c>
      <c r="B26" s="2" t="n">
        <v>2</v>
      </c>
      <c r="C26" s="2" t="n">
        <v>7</v>
      </c>
      <c r="D26" s="2" t="n">
        <v>3180.24</v>
      </c>
      <c r="E26" s="0" t="str">
        <f aca="false">"("&amp;$A26&amp;", "&amp;$B26&amp;", "&amp;$C26&amp;", "&amp;$D26&amp;"),"</f>
        <v>(14, 2, 7, 3180.24),</v>
      </c>
      <c r="F26" s="0" t="n">
        <f aca="true">IF(RAND()&gt;0.5,F25+1,F25)</f>
        <v>12</v>
      </c>
      <c r="G26" s="0" t="n">
        <f aca="true">ROUND(RAND()*COUNT(items!$B:$B),0)</f>
        <v>3</v>
      </c>
      <c r="H26" s="0" t="n">
        <f aca="true">1+ROUND(EXP(10*RAND()-5),0)</f>
        <v>2</v>
      </c>
      <c r="I26" s="0" t="n">
        <f aca="true">ROUND(VLOOKUP(G26,items!$A$2:$E$31,5,0)*IF(RAND()&gt;0.5,1 - 0.5 * RAND(),1),2)</f>
        <v>3137.83</v>
      </c>
    </row>
    <row r="27" customFormat="false" ht="12.8" hidden="false" customHeight="false" outlineLevel="0" collapsed="false">
      <c r="A27" s="2" t="n">
        <v>14</v>
      </c>
      <c r="B27" s="2" t="n">
        <v>8</v>
      </c>
      <c r="C27" s="2" t="n">
        <v>29</v>
      </c>
      <c r="D27" s="2" t="n">
        <v>1083.62</v>
      </c>
      <c r="E27" s="0" t="str">
        <f aca="false">"("&amp;$A27&amp;", "&amp;$B27&amp;", "&amp;$C27&amp;", "&amp;$D27&amp;"),"</f>
        <v>(14, 8, 29, 1083.62),</v>
      </c>
      <c r="F27" s="0" t="n">
        <f aca="true">IF(RAND()&gt;0.5,F26+1,F26)</f>
        <v>12</v>
      </c>
      <c r="G27" s="0" t="n">
        <f aca="true">ROUND(RAND()*COUNT(items!$B:$B),0)</f>
        <v>10</v>
      </c>
      <c r="H27" s="0" t="n">
        <f aca="true">1+ROUND(EXP(10*RAND()-5),0)</f>
        <v>1</v>
      </c>
      <c r="I27" s="0" t="n">
        <f aca="true">ROUND(VLOOKUP(G27,items!$A$2:$E$31,5,0)*IF(RAND()&gt;0.5,1 - 0.5 * RAND(),1),2)</f>
        <v>14577.5</v>
      </c>
    </row>
    <row r="28" customFormat="false" ht="12.8" hidden="false" customHeight="false" outlineLevel="0" collapsed="false">
      <c r="A28" s="2" t="n">
        <v>14</v>
      </c>
      <c r="B28" s="2" t="n">
        <v>10</v>
      </c>
      <c r="C28" s="2" t="n">
        <v>1</v>
      </c>
      <c r="D28" s="2" t="n">
        <v>14577.5</v>
      </c>
      <c r="E28" s="0" t="str">
        <f aca="false">"("&amp;$A28&amp;", "&amp;$B28&amp;", "&amp;$C28&amp;", "&amp;$D28&amp;"),"</f>
        <v>(14, 10, 1, 14577.5),</v>
      </c>
      <c r="F28" s="0" t="n">
        <f aca="true">IF(RAND()&gt;0.5,F27+1,F27)</f>
        <v>12</v>
      </c>
      <c r="G28" s="0" t="n">
        <f aca="true">ROUND(RAND()*COUNT(items!$B:$B),0)</f>
        <v>27</v>
      </c>
      <c r="H28" s="0" t="n">
        <f aca="true">1+ROUND(EXP(10*RAND()-5),0)</f>
        <v>1</v>
      </c>
      <c r="I28" s="0" t="n">
        <f aca="true">ROUND(VLOOKUP(G28,items!$A$2:$E$31,5,0)*IF(RAND()&gt;0.5,1 - 0.5 * RAND(),1),2)</f>
        <v>4964.82</v>
      </c>
    </row>
    <row r="29" customFormat="false" ht="12.8" hidden="false" customHeight="false" outlineLevel="0" collapsed="false">
      <c r="A29" s="2" t="n">
        <v>14</v>
      </c>
      <c r="B29" s="2" t="n">
        <v>5</v>
      </c>
      <c r="C29" s="2" t="n">
        <v>3</v>
      </c>
      <c r="D29" s="2" t="n">
        <v>3180.24</v>
      </c>
      <c r="E29" s="0" t="str">
        <f aca="false">"("&amp;$A29&amp;", "&amp;$B29&amp;", "&amp;$C29&amp;", "&amp;$D29&amp;"),"</f>
        <v>(14, 5, 3, 3180.24),</v>
      </c>
      <c r="F29" s="0" t="n">
        <f aca="true">IF(RAND()&gt;0.5,F28+1,F28)</f>
        <v>12</v>
      </c>
      <c r="G29" s="0" t="n">
        <f aca="true">ROUND(RAND()*COUNT(items!$B:$B),0)</f>
        <v>6</v>
      </c>
      <c r="H29" s="0" t="n">
        <f aca="true">1+ROUND(EXP(10*RAND()-5),0)</f>
        <v>1</v>
      </c>
      <c r="I29" s="0" t="n">
        <f aca="true">ROUND(VLOOKUP(G29,items!$A$2:$E$31,5,0)*IF(RAND()&gt;0.5,1 - 0.5 * RAND(),1),2)</f>
        <v>2299.84</v>
      </c>
    </row>
    <row r="30" customFormat="false" ht="12.8" hidden="false" customHeight="false" outlineLevel="0" collapsed="false">
      <c r="A30" s="2" t="n">
        <v>14</v>
      </c>
      <c r="B30" s="2" t="n">
        <v>6</v>
      </c>
      <c r="C30" s="2" t="n">
        <v>1</v>
      </c>
      <c r="D30" s="2" t="n">
        <v>3040.03</v>
      </c>
      <c r="E30" s="0" t="str">
        <f aca="false">"("&amp;$A30&amp;", "&amp;$B30&amp;", "&amp;$C30&amp;", "&amp;$D30&amp;"),"</f>
        <v>(14, 6, 1, 3040.03),</v>
      </c>
      <c r="F30" s="0" t="n">
        <f aca="true">IF(RAND()&gt;0.5,F29+1,F29)</f>
        <v>12</v>
      </c>
      <c r="G30" s="0" t="n">
        <f aca="true">ROUND(RAND()*COUNT(items!$B:$B),0)</f>
        <v>28</v>
      </c>
      <c r="H30" s="0" t="n">
        <f aca="true">1+ROUND(EXP(10*RAND()-5),0)</f>
        <v>78</v>
      </c>
      <c r="I30" s="0" t="n">
        <f aca="true">ROUND(VLOOKUP(G30,items!$A$2:$E$31,5,0)*IF(RAND()&gt;0.5,1 - 0.5 * RAND(),1),2)</f>
        <v>8816.55</v>
      </c>
    </row>
    <row r="31" customFormat="false" ht="12.8" hidden="false" customHeight="false" outlineLevel="0" collapsed="false">
      <c r="A31" s="2" t="n">
        <v>14</v>
      </c>
      <c r="B31" s="2" t="n">
        <v>7</v>
      </c>
      <c r="C31" s="2" t="n">
        <v>1</v>
      </c>
      <c r="D31" s="2" t="n">
        <v>2359.22</v>
      </c>
      <c r="E31" s="0" t="str">
        <f aca="false">"("&amp;$A31&amp;", "&amp;$B31&amp;", "&amp;$C31&amp;", "&amp;$D31&amp;"),"</f>
        <v>(14, 7, 1, 2359.22),</v>
      </c>
      <c r="F31" s="0" t="n">
        <f aca="true">IF(RAND()&gt;0.5,F30+1,F30)</f>
        <v>12</v>
      </c>
      <c r="G31" s="0" t="n">
        <f aca="true">ROUND(RAND()*COUNT(items!$B:$B),0)</f>
        <v>13</v>
      </c>
      <c r="H31" s="0" t="n">
        <f aca="true">1+ROUND(EXP(10*RAND()-5),0)</f>
        <v>105</v>
      </c>
      <c r="I31" s="0" t="n">
        <f aca="true">ROUND(VLOOKUP(G31,items!$A$2:$E$31,5,0)*IF(RAND()&gt;0.5,1 - 0.5 * RAND(),1),2)</f>
        <v>40228.93</v>
      </c>
    </row>
    <row r="32" customFormat="false" ht="12.8" hidden="false" customHeight="false" outlineLevel="0" collapsed="false">
      <c r="A32" s="2" t="n">
        <v>15</v>
      </c>
      <c r="B32" s="2" t="n">
        <v>5</v>
      </c>
      <c r="C32" s="2" t="n">
        <v>1</v>
      </c>
      <c r="D32" s="2" t="n">
        <v>2538.7</v>
      </c>
      <c r="E32" s="0" t="str">
        <f aca="false">"("&amp;$A32&amp;", "&amp;$B32&amp;", "&amp;$C32&amp;", "&amp;$D32&amp;"),"</f>
        <v>(15, 5, 1, 2538.7),</v>
      </c>
      <c r="F32" s="0" t="n">
        <f aca="true">IF(RAND()&gt;0.5,F31+1,F31)</f>
        <v>13</v>
      </c>
      <c r="G32" s="0" t="n">
        <f aca="true">ROUND(RAND()*COUNT(items!$B:$B),0)</f>
        <v>7</v>
      </c>
      <c r="H32" s="0" t="n">
        <f aca="true">1+ROUND(EXP(10*RAND()-5),0)</f>
        <v>22</v>
      </c>
      <c r="I32" s="0" t="n">
        <f aca="true">ROUND(VLOOKUP(G32,items!$A$2:$E$31,5,0)*IF(RAND()&gt;0.5,1 - 0.5 * RAND(),1),2)</f>
        <v>1795.59</v>
      </c>
    </row>
    <row r="33" customFormat="false" ht="12.8" hidden="false" customHeight="false" outlineLevel="0" collapsed="false">
      <c r="A33" s="2" t="n">
        <v>15</v>
      </c>
      <c r="B33" s="2" t="n">
        <v>29</v>
      </c>
      <c r="C33" s="2" t="n">
        <v>81</v>
      </c>
      <c r="D33" s="2" t="n">
        <v>11676.11</v>
      </c>
      <c r="E33" s="0" t="str">
        <f aca="false">"("&amp;$A33&amp;", "&amp;$B33&amp;", "&amp;$C33&amp;", "&amp;$D33&amp;"),"</f>
        <v>(15, 29, 81, 11676.11),</v>
      </c>
      <c r="F33" s="0" t="n">
        <f aca="true">IF(RAND()&gt;0.5,F32+1,F32)</f>
        <v>14</v>
      </c>
      <c r="G33" s="0" t="n">
        <f aca="true">ROUND(RAND()*COUNT(items!$B:$B),0)</f>
        <v>27</v>
      </c>
      <c r="H33" s="0" t="n">
        <f aca="true">1+ROUND(EXP(10*RAND()-5),0)</f>
        <v>32</v>
      </c>
      <c r="I33" s="0" t="n">
        <f aca="true">ROUND(VLOOKUP(G33,items!$A$2:$E$31,5,0)*IF(RAND()&gt;0.5,1 - 0.5 * RAND(),1),2)</f>
        <v>9215.76</v>
      </c>
    </row>
    <row r="34" customFormat="false" ht="12.8" hidden="false" customHeight="false" outlineLevel="0" collapsed="false">
      <c r="A34" s="2" t="n">
        <v>16</v>
      </c>
      <c r="B34" s="2" t="n">
        <v>8</v>
      </c>
      <c r="C34" s="2" t="n">
        <v>124</v>
      </c>
      <c r="D34" s="2" t="n">
        <v>1424.93</v>
      </c>
      <c r="E34" s="0" t="str">
        <f aca="false">"("&amp;$A34&amp;", "&amp;$B34&amp;", "&amp;$C34&amp;", "&amp;$D34&amp;"),"</f>
        <v>(16, 8, 124, 1424.93),</v>
      </c>
      <c r="F34" s="0" t="n">
        <f aca="true">IF(RAND()&gt;0.5,F33+1,F33)</f>
        <v>14</v>
      </c>
      <c r="G34" s="0" t="n">
        <f aca="true">ROUND(RAND()*COUNT(items!$B:$B),0)</f>
        <v>2</v>
      </c>
      <c r="H34" s="0" t="n">
        <f aca="true">1+ROUND(EXP(10*RAND()-5),0)</f>
        <v>9</v>
      </c>
      <c r="I34" s="0" t="n">
        <f aca="true">ROUND(VLOOKUP(G34,items!$A$2:$E$31,5,0)*IF(RAND()&gt;0.5,1 - 0.5 * RAND(),1),2)</f>
        <v>1835.93</v>
      </c>
    </row>
    <row r="35" customFormat="false" ht="12.8" hidden="false" customHeight="false" outlineLevel="0" collapsed="false">
      <c r="A35" s="2" t="n">
        <v>16</v>
      </c>
      <c r="B35" s="2" t="n">
        <v>5</v>
      </c>
      <c r="C35" s="2" t="n">
        <v>1</v>
      </c>
      <c r="D35" s="2" t="n">
        <v>3180.24</v>
      </c>
      <c r="E35" s="0" t="str">
        <f aca="false">"("&amp;$A35&amp;", "&amp;$B35&amp;", "&amp;$C35&amp;", "&amp;$D35&amp;"),"</f>
        <v>(16, 5, 1, 3180.24),</v>
      </c>
      <c r="F35" s="0" t="n">
        <f aca="true">IF(RAND()&gt;0.5,F34+1,F34)</f>
        <v>15</v>
      </c>
      <c r="G35" s="0" t="n">
        <f aca="true">ROUND(RAND()*COUNT(items!$B:$B),0)</f>
        <v>10</v>
      </c>
      <c r="H35" s="0" t="n">
        <f aca="true">1+ROUND(EXP(10*RAND()-5),0)</f>
        <v>4</v>
      </c>
      <c r="I35" s="0" t="n">
        <f aca="true">ROUND(VLOOKUP(G35,items!$A$2:$E$31,5,0)*IF(RAND()&gt;0.5,1 - 0.5 * RAND(),1),2)</f>
        <v>14577.5</v>
      </c>
    </row>
    <row r="36" customFormat="false" ht="12.8" hidden="false" customHeight="false" outlineLevel="0" collapsed="false">
      <c r="A36" s="2" t="n">
        <v>16</v>
      </c>
      <c r="B36" s="2" t="n">
        <v>20</v>
      </c>
      <c r="C36" s="2" t="n">
        <v>1</v>
      </c>
      <c r="D36" s="2" t="n">
        <v>3086.44</v>
      </c>
      <c r="E36" s="0" t="str">
        <f aca="false">"("&amp;$A36&amp;", "&amp;$B36&amp;", "&amp;$C36&amp;", "&amp;$D36&amp;"),"</f>
        <v>(16, 20, 1, 3086.44),</v>
      </c>
      <c r="F36" s="0" t="n">
        <f aca="true">IF(RAND()&gt;0.5,F35+1,F35)</f>
        <v>15</v>
      </c>
      <c r="G36" s="0" t="n">
        <f aca="true">ROUND(RAND()*COUNT(items!$B:$B),0)</f>
        <v>22</v>
      </c>
      <c r="H36" s="0" t="n">
        <f aca="true">1+ROUND(EXP(10*RAND()-5),0)</f>
        <v>1</v>
      </c>
      <c r="I36" s="0" t="n">
        <f aca="true">ROUND(VLOOKUP(G36,items!$A$2:$E$31,5,0)*IF(RAND()&gt;0.5,1 - 0.5 * RAND(),1),2)</f>
        <v>24687.75</v>
      </c>
    </row>
    <row r="37" customFormat="false" ht="12.8" hidden="false" customHeight="false" outlineLevel="0" collapsed="false">
      <c r="A37" s="2" t="n">
        <v>16</v>
      </c>
      <c r="B37" s="2" t="n">
        <v>10</v>
      </c>
      <c r="C37" s="2" t="n">
        <v>1</v>
      </c>
      <c r="D37" s="2" t="n">
        <v>13622.73</v>
      </c>
      <c r="E37" s="0" t="str">
        <f aca="false">"("&amp;$A37&amp;", "&amp;$B37&amp;", "&amp;$C37&amp;", "&amp;$D37&amp;"),"</f>
        <v>(16, 10, 1, 13622.73),</v>
      </c>
      <c r="F37" s="0" t="n">
        <f aca="true">IF(RAND()&gt;0.5,F36+1,F36)</f>
        <v>15</v>
      </c>
      <c r="G37" s="0" t="n">
        <f aca="true">ROUND(RAND()*COUNT(items!$B:$B),0)</f>
        <v>27</v>
      </c>
      <c r="H37" s="0" t="n">
        <f aca="true">1+ROUND(EXP(10*RAND()-5),0)</f>
        <v>21</v>
      </c>
      <c r="I37" s="0" t="n">
        <f aca="true">ROUND(VLOOKUP(G37,items!$A$2:$E$31,5,0)*IF(RAND()&gt;0.5,1 - 0.5 * RAND(),1),2)</f>
        <v>9215.76</v>
      </c>
    </row>
    <row r="38" customFormat="false" ht="12.8" hidden="false" customHeight="false" outlineLevel="0" collapsed="false">
      <c r="A38" s="2" t="n">
        <v>17</v>
      </c>
      <c r="B38" s="2" t="n">
        <v>13</v>
      </c>
      <c r="C38" s="2" t="n">
        <v>1</v>
      </c>
      <c r="D38" s="2" t="n">
        <v>36448.03</v>
      </c>
      <c r="E38" s="0" t="str">
        <f aca="false">"("&amp;$A38&amp;", "&amp;$B38&amp;", "&amp;$C38&amp;", "&amp;$D38&amp;"),"</f>
        <v>(17, 13, 1, 36448.03),</v>
      </c>
      <c r="F38" s="0" t="n">
        <f aca="true">IF(RAND()&gt;0.5,F37+1,F37)</f>
        <v>16</v>
      </c>
      <c r="G38" s="0" t="n">
        <f aca="true">ROUND(RAND()*COUNT(items!$B:$B),0)</f>
        <v>16</v>
      </c>
      <c r="H38" s="0" t="n">
        <f aca="true">1+ROUND(EXP(10*RAND()-5),0)</f>
        <v>5</v>
      </c>
      <c r="I38" s="0" t="n">
        <f aca="true">ROUND(VLOOKUP(G38,items!$A$2:$E$31,5,0)*IF(RAND()&gt;0.5,1 - 0.5 * RAND(),1),2)</f>
        <v>10526.6</v>
      </c>
    </row>
    <row r="39" customFormat="false" ht="12.8" hidden="false" customHeight="false" outlineLevel="0" collapsed="false">
      <c r="A39" s="2" t="n">
        <v>17</v>
      </c>
      <c r="B39" s="2" t="n">
        <v>24</v>
      </c>
      <c r="C39" s="2" t="n">
        <v>1</v>
      </c>
      <c r="D39" s="2" t="n">
        <v>5721.23</v>
      </c>
      <c r="E39" s="0" t="str">
        <f aca="false">"("&amp;$A39&amp;", "&amp;$B39&amp;", "&amp;$C39&amp;", "&amp;$D39&amp;"),"</f>
        <v>(17, 24, 1, 5721.23),</v>
      </c>
      <c r="F39" s="0" t="n">
        <f aca="true">IF(RAND()&gt;0.5,F38+1,F38)</f>
        <v>17</v>
      </c>
      <c r="G39" s="0" t="n">
        <f aca="true">ROUND(RAND()*COUNT(items!$B:$B),0)</f>
        <v>10</v>
      </c>
      <c r="H39" s="0" t="n">
        <f aca="true">1+ROUND(EXP(10*RAND()-5),0)</f>
        <v>1</v>
      </c>
      <c r="I39" s="0" t="n">
        <f aca="true">ROUND(VLOOKUP(G39,items!$A$2:$E$31,5,0)*IF(RAND()&gt;0.5,1 - 0.5 * RAND(),1),2)</f>
        <v>8969.28</v>
      </c>
    </row>
    <row r="40" customFormat="false" ht="12.8" hidden="false" customHeight="false" outlineLevel="0" collapsed="false">
      <c r="A40" s="2" t="n">
        <v>17</v>
      </c>
      <c r="B40" s="2" t="n">
        <v>7</v>
      </c>
      <c r="C40" s="2" t="n">
        <v>85</v>
      </c>
      <c r="D40" s="2" t="n">
        <v>2154.68</v>
      </c>
      <c r="E40" s="0" t="str">
        <f aca="false">"("&amp;$A40&amp;", "&amp;$B40&amp;", "&amp;$C40&amp;", "&amp;$D40&amp;"),"</f>
        <v>(17, 7, 85, 2154.68),</v>
      </c>
      <c r="F40" s="0" t="n">
        <f aca="true">IF(RAND()&gt;0.5,F39+1,F39)</f>
        <v>18</v>
      </c>
      <c r="G40" s="0" t="n">
        <f aca="true">ROUND(RAND()*COUNT(items!$B:$B),0)</f>
        <v>23</v>
      </c>
      <c r="H40" s="0" t="n">
        <f aca="true">1+ROUND(EXP(10*RAND()-5),0)</f>
        <v>1</v>
      </c>
      <c r="I40" s="0" t="n">
        <f aca="true">ROUND(VLOOKUP(G40,items!$A$2:$E$31,5,0)*IF(RAND()&gt;0.5,1 - 0.5 * RAND(),1),2)</f>
        <v>7434.45</v>
      </c>
    </row>
    <row r="41" customFormat="false" ht="12.8" hidden="false" customHeight="false" outlineLevel="0" collapsed="false">
      <c r="A41" s="2" t="n">
        <v>17</v>
      </c>
      <c r="B41" s="2" t="n">
        <v>29</v>
      </c>
      <c r="C41" s="2" t="n">
        <v>91</v>
      </c>
      <c r="D41" s="2" t="n">
        <v>11676.11</v>
      </c>
      <c r="E41" s="0" t="str">
        <f aca="false">"("&amp;$A41&amp;", "&amp;$B41&amp;", "&amp;$C41&amp;", "&amp;$D41&amp;"),"</f>
        <v>(17, 29, 91, 11676.11),</v>
      </c>
      <c r="F41" s="0" t="n">
        <f aca="true">IF(RAND()&gt;0.5,F40+1,F40)</f>
        <v>19</v>
      </c>
      <c r="G41" s="0" t="n">
        <f aca="true">ROUND(RAND()*COUNT(items!$B:$B),0)</f>
        <v>1</v>
      </c>
      <c r="H41" s="0" t="n">
        <f aca="true">1+ROUND(EXP(10*RAND()-5),0)</f>
        <v>3</v>
      </c>
      <c r="I41" s="0" t="n">
        <f aca="true">ROUND(VLOOKUP(G41,items!$A$2:$E$31,5,0)*IF(RAND()&gt;0.5,1 - 0.5 * RAND(),1),2)</f>
        <v>2511.64</v>
      </c>
    </row>
    <row r="42" customFormat="false" ht="12.8" hidden="false" customHeight="false" outlineLevel="0" collapsed="false">
      <c r="A42" s="2" t="n">
        <v>17</v>
      </c>
      <c r="B42" s="2" t="n">
        <v>28</v>
      </c>
      <c r="C42" s="2" t="n">
        <v>145</v>
      </c>
      <c r="D42" s="2" t="n">
        <v>10044.23</v>
      </c>
      <c r="E42" s="0" t="str">
        <f aca="false">"("&amp;$A42&amp;", "&amp;$B42&amp;", "&amp;$C42&amp;", "&amp;$D42&amp;"),"</f>
        <v>(17, 28, 145, 10044.23),</v>
      </c>
      <c r="F42" s="0" t="n">
        <f aca="true">IF(RAND()&gt;0.5,F41+1,F41)</f>
        <v>20</v>
      </c>
      <c r="G42" s="0" t="n">
        <f aca="true">ROUND(RAND()*COUNT(items!$B:$B),0)</f>
        <v>13</v>
      </c>
      <c r="H42" s="0" t="n">
        <f aca="true">1+ROUND(EXP(10*RAND()-5),0)</f>
        <v>5</v>
      </c>
      <c r="I42" s="0" t="n">
        <f aca="true">ROUND(VLOOKUP(G42,items!$A$2:$E$31,5,0)*IF(RAND()&gt;0.5,1 - 0.5 * RAND(),1),2)</f>
        <v>28946.72</v>
      </c>
    </row>
    <row r="43" customFormat="false" ht="12.8" hidden="false" customHeight="false" outlineLevel="0" collapsed="false">
      <c r="A43" s="2" t="n">
        <v>18</v>
      </c>
      <c r="B43" s="2" t="n">
        <v>14</v>
      </c>
      <c r="C43" s="2" t="n">
        <v>1</v>
      </c>
      <c r="D43" s="2" t="n">
        <v>5294.55</v>
      </c>
      <c r="E43" s="0" t="str">
        <f aca="false">"("&amp;$A43&amp;", "&amp;$B43&amp;", "&amp;$C43&amp;", "&amp;$D43&amp;"),"</f>
        <v>(18, 14, 1, 5294.55),</v>
      </c>
      <c r="F43" s="0" t="n">
        <f aca="true">IF(RAND()&gt;0.5,F42+1,F42)</f>
        <v>20</v>
      </c>
      <c r="G43" s="0" t="n">
        <f aca="true">ROUND(RAND()*COUNT(items!$B:$B),0)</f>
        <v>9</v>
      </c>
      <c r="H43" s="0" t="n">
        <f aca="true">1+ROUND(EXP(10*RAND()-5),0)</f>
        <v>35</v>
      </c>
      <c r="I43" s="0" t="n">
        <f aca="true">ROUND(VLOOKUP(G43,items!$A$2:$E$31,5,0)*IF(RAND()&gt;0.5,1 - 0.5 * RAND(),1),2)</f>
        <v>5663.47</v>
      </c>
    </row>
    <row r="44" customFormat="false" ht="12.8" hidden="false" customHeight="false" outlineLevel="0" collapsed="false">
      <c r="A44" s="2" t="n">
        <v>18</v>
      </c>
      <c r="B44" s="2" t="n">
        <v>1</v>
      </c>
      <c r="C44" s="2" t="n">
        <v>2</v>
      </c>
      <c r="D44" s="2" t="n">
        <v>2511.64</v>
      </c>
      <c r="E44" s="0" t="str">
        <f aca="false">"("&amp;$A44&amp;", "&amp;$B44&amp;", "&amp;$C44&amp;", "&amp;$D44&amp;"),"</f>
        <v>(18, 1, 2, 2511.64),</v>
      </c>
      <c r="F44" s="0" t="n">
        <f aca="true">IF(RAND()&gt;0.5,F43+1,F43)</f>
        <v>20</v>
      </c>
      <c r="G44" s="0" t="n">
        <f aca="true">ROUND(RAND()*COUNT(items!$B:$B),0)</f>
        <v>1</v>
      </c>
      <c r="H44" s="0" t="n">
        <f aca="true">1+ROUND(EXP(10*RAND()-5),0)</f>
        <v>2</v>
      </c>
      <c r="I44" s="0" t="n">
        <f aca="true">ROUND(VLOOKUP(G44,items!$A$2:$E$31,5,0)*IF(RAND()&gt;0.5,1 - 0.5 * RAND(),1),2)</f>
        <v>2107.31</v>
      </c>
    </row>
    <row r="45" customFormat="false" ht="12.8" hidden="false" customHeight="false" outlineLevel="0" collapsed="false">
      <c r="A45" s="2" t="n">
        <v>18</v>
      </c>
      <c r="B45" s="2" t="n">
        <v>10</v>
      </c>
      <c r="C45" s="2" t="n">
        <v>3</v>
      </c>
      <c r="D45" s="2" t="n">
        <v>14577.5</v>
      </c>
      <c r="E45" s="0" t="str">
        <f aca="false">"("&amp;$A45&amp;", "&amp;$B45&amp;", "&amp;$C45&amp;", "&amp;$D45&amp;"),"</f>
        <v>(18, 10, 3, 14577.5),</v>
      </c>
      <c r="F45" s="0" t="n">
        <f aca="true">IF(RAND()&gt;0.5,F44+1,F44)</f>
        <v>21</v>
      </c>
      <c r="G45" s="0" t="n">
        <f aca="true">ROUND(RAND()*COUNT(items!$B:$B),0)</f>
        <v>7</v>
      </c>
      <c r="H45" s="0" t="n">
        <f aca="true">1+ROUND(EXP(10*RAND()-5),0)</f>
        <v>142</v>
      </c>
      <c r="I45" s="0" t="n">
        <f aca="true">ROUND(VLOOKUP(G45,items!$A$2:$E$31,5,0)*IF(RAND()&gt;0.5,1 - 0.5 * RAND(),1),2)</f>
        <v>2359.22</v>
      </c>
    </row>
    <row r="46" customFormat="false" ht="12.8" hidden="false" customHeight="false" outlineLevel="0" collapsed="false">
      <c r="A46" s="2" t="n">
        <v>18</v>
      </c>
      <c r="B46" s="2" t="n">
        <v>8</v>
      </c>
      <c r="C46" s="2" t="n">
        <v>1</v>
      </c>
      <c r="D46" s="2" t="n">
        <v>1424.93</v>
      </c>
      <c r="E46" s="0" t="str">
        <f aca="false">"("&amp;$A46&amp;", "&amp;$B46&amp;", "&amp;$C46&amp;", "&amp;$D46&amp;"),"</f>
        <v>(18, 8, 1, 1424.93),</v>
      </c>
      <c r="F46" s="0" t="n">
        <f aca="true">IF(RAND()&gt;0.5,F45+1,F45)</f>
        <v>22</v>
      </c>
      <c r="G46" s="0" t="n">
        <f aca="true">ROUND(RAND()*COUNT(items!$B:$B),0)</f>
        <v>8</v>
      </c>
      <c r="H46" s="0" t="n">
        <f aca="true">1+ROUND(EXP(10*RAND()-5),0)</f>
        <v>1</v>
      </c>
      <c r="I46" s="0" t="n">
        <f aca="true">ROUND(VLOOKUP(G46,items!$A$2:$E$31,5,0)*IF(RAND()&gt;0.5,1 - 0.5 * RAND(),1),2)</f>
        <v>1424.93</v>
      </c>
    </row>
    <row r="47" customFormat="false" ht="12.8" hidden="false" customHeight="false" outlineLevel="0" collapsed="false">
      <c r="A47" s="2" t="n">
        <v>18</v>
      </c>
      <c r="B47" s="2" t="n">
        <v>21</v>
      </c>
      <c r="C47" s="2" t="n">
        <v>3</v>
      </c>
      <c r="D47" s="2" t="n">
        <v>10776.39</v>
      </c>
      <c r="E47" s="0" t="str">
        <f aca="false">"("&amp;$A47&amp;", "&amp;$B47&amp;", "&amp;$C47&amp;", "&amp;$D47&amp;"),"</f>
        <v>(18, 21, 3, 10776.39),</v>
      </c>
      <c r="F47" s="0" t="n">
        <f aca="true">IF(RAND()&gt;0.5,F46+1,F46)</f>
        <v>22</v>
      </c>
      <c r="G47" s="0" t="n">
        <f aca="true">ROUND(RAND()*COUNT(items!$B:$B),0)</f>
        <v>13</v>
      </c>
      <c r="H47" s="0" t="n">
        <f aca="true">1+ROUND(EXP(10*RAND()-5),0)</f>
        <v>2</v>
      </c>
      <c r="I47" s="0" t="n">
        <f aca="true">ROUND(VLOOKUP(G47,items!$A$2:$E$31,5,0)*IF(RAND()&gt;0.5,1 - 0.5 * RAND(),1),2)</f>
        <v>23117.91</v>
      </c>
    </row>
    <row r="48" customFormat="false" ht="12.8" hidden="false" customHeight="false" outlineLevel="0" collapsed="false">
      <c r="A48" s="2" t="n">
        <v>18</v>
      </c>
      <c r="B48" s="2" t="n">
        <v>13</v>
      </c>
      <c r="C48" s="2" t="n">
        <v>1</v>
      </c>
      <c r="D48" s="2" t="n">
        <v>40228.93</v>
      </c>
      <c r="E48" s="0" t="str">
        <f aca="false">"("&amp;$A48&amp;", "&amp;$B48&amp;", "&amp;$C48&amp;", "&amp;$D48&amp;"),"</f>
        <v>(18, 13, 1, 40228.93),</v>
      </c>
      <c r="F48" s="0" t="n">
        <f aca="true">IF(RAND()&gt;0.5,F47+1,F47)</f>
        <v>23</v>
      </c>
      <c r="G48" s="0" t="n">
        <f aca="true">ROUND(RAND()*COUNT(items!$B:$B),0)</f>
        <v>6</v>
      </c>
      <c r="H48" s="0" t="n">
        <f aca="true">1+ROUND(EXP(10*RAND()-5),0)</f>
        <v>3</v>
      </c>
      <c r="I48" s="0" t="n">
        <f aca="true">ROUND(VLOOKUP(G48,items!$A$2:$E$31,5,0)*IF(RAND()&gt;0.5,1 - 0.5 * RAND(),1),2)</f>
        <v>2176.66</v>
      </c>
    </row>
    <row r="49" customFormat="false" ht="12.8" hidden="false" customHeight="false" outlineLevel="0" collapsed="false">
      <c r="A49" s="2" t="n">
        <v>19</v>
      </c>
      <c r="B49" s="2" t="n">
        <v>4</v>
      </c>
      <c r="C49" s="2" t="n">
        <v>20</v>
      </c>
      <c r="D49" s="2" t="n">
        <v>3504.5</v>
      </c>
      <c r="E49" s="0" t="str">
        <f aca="false">"("&amp;$A49&amp;", "&amp;$B49&amp;", "&amp;$C49&amp;", "&amp;$D49&amp;"),"</f>
        <v>(19, 4, 20, 3504.5),</v>
      </c>
      <c r="F49" s="0" t="n">
        <f aca="true">IF(RAND()&gt;0.5,F48+1,F48)</f>
        <v>24</v>
      </c>
      <c r="G49" s="0" t="n">
        <f aca="true">ROUND(RAND()*COUNT(items!$B:$B),0)</f>
        <v>3</v>
      </c>
      <c r="H49" s="0" t="n">
        <f aca="true">1+ROUND(EXP(10*RAND()-5),0)</f>
        <v>1</v>
      </c>
      <c r="I49" s="0" t="n">
        <f aca="true">ROUND(VLOOKUP(G49,items!$A$2:$E$31,5,0)*IF(RAND()&gt;0.5,1 - 0.5 * RAND(),1),2)</f>
        <v>4838.36</v>
      </c>
    </row>
    <row r="50" customFormat="false" ht="12.8" hidden="false" customHeight="false" outlineLevel="0" collapsed="false">
      <c r="A50" s="2" t="n">
        <v>20</v>
      </c>
      <c r="B50" s="2" t="n">
        <v>17</v>
      </c>
      <c r="C50" s="2" t="n">
        <v>1</v>
      </c>
      <c r="D50" s="2" t="n">
        <v>35604.75</v>
      </c>
      <c r="E50" s="0" t="str">
        <f aca="false">"("&amp;$A50&amp;", "&amp;$B50&amp;", "&amp;$C50&amp;", "&amp;$D50&amp;"),"</f>
        <v>(20, 17, 1, 35604.75),</v>
      </c>
      <c r="F50" s="0" t="n">
        <f aca="true">IF(RAND()&gt;0.5,F49+1,F49)</f>
        <v>24</v>
      </c>
      <c r="G50" s="0" t="n">
        <f aca="true">ROUND(RAND()*COUNT(items!$B:$B),0)</f>
        <v>2</v>
      </c>
      <c r="H50" s="0" t="n">
        <f aca="true">1+ROUND(EXP(10*RAND()-5),0)</f>
        <v>1</v>
      </c>
      <c r="I50" s="0" t="n">
        <f aca="true">ROUND(VLOOKUP(G50,items!$A$2:$E$31,5,0)*IF(RAND()&gt;0.5,1 - 0.5 * RAND(),1),2)</f>
        <v>1835.93</v>
      </c>
    </row>
    <row r="51" customFormat="false" ht="12.8" hidden="false" customHeight="false" outlineLevel="0" collapsed="false">
      <c r="A51" s="2" t="n">
        <v>20</v>
      </c>
      <c r="B51" s="2" t="n">
        <v>24</v>
      </c>
      <c r="C51" s="2" t="n">
        <v>1</v>
      </c>
      <c r="D51" s="2" t="n">
        <v>2903.45</v>
      </c>
      <c r="E51" s="0" t="str">
        <f aca="false">"("&amp;$A51&amp;", "&amp;$B51&amp;", "&amp;$C51&amp;", "&amp;$D51&amp;"),"</f>
        <v>(20, 24, 1, 2903.45),</v>
      </c>
      <c r="F51" s="0" t="n">
        <f aca="true">IF(RAND()&gt;0.5,F50+1,F50)</f>
        <v>24</v>
      </c>
      <c r="G51" s="0" t="n">
        <f aca="true">ROUND(RAND()*COUNT(items!$B:$B),0)</f>
        <v>20</v>
      </c>
      <c r="H51" s="0" t="n">
        <f aca="true">1+ROUND(EXP(10*RAND()-5),0)</f>
        <v>3</v>
      </c>
      <c r="I51" s="0" t="n">
        <f aca="true">ROUND(VLOOKUP(G51,items!$A$2:$E$31,5,0)*IF(RAND()&gt;0.5,1 - 0.5 * RAND(),1),2)</f>
        <v>5063.9</v>
      </c>
    </row>
    <row r="52" customFormat="false" ht="12.8" hidden="false" customHeight="false" outlineLevel="0" collapsed="false">
      <c r="A52" s="2" t="n">
        <v>20</v>
      </c>
      <c r="B52" s="2" t="n">
        <v>6</v>
      </c>
      <c r="C52" s="2" t="n">
        <v>20</v>
      </c>
      <c r="D52" s="2" t="n">
        <v>2299.84</v>
      </c>
      <c r="E52" s="0" t="str">
        <f aca="false">"("&amp;$A52&amp;", "&amp;$B52&amp;", "&amp;$C52&amp;", "&amp;$D52&amp;"),"</f>
        <v>(20, 6, 20, 2299.84),</v>
      </c>
      <c r="F52" s="0" t="n">
        <f aca="true">IF(RAND()&gt;0.5,F51+1,F51)</f>
        <v>25</v>
      </c>
      <c r="G52" s="0" t="n">
        <f aca="true">ROUND(RAND()*COUNT(items!$B:$B),0)</f>
        <v>10</v>
      </c>
      <c r="H52" s="0" t="n">
        <f aca="true">1+ROUND(EXP(10*RAND()-5),0)</f>
        <v>1</v>
      </c>
      <c r="I52" s="0" t="n">
        <f aca="true">ROUND(VLOOKUP(G52,items!$A$2:$E$31,5,0)*IF(RAND()&gt;0.5,1 - 0.5 * RAND(),1),2)</f>
        <v>14577.5</v>
      </c>
    </row>
    <row r="53" customFormat="false" ht="12.8" hidden="false" customHeight="false" outlineLevel="0" collapsed="false">
      <c r="A53" s="2" t="n">
        <v>20</v>
      </c>
      <c r="B53" s="2" t="n">
        <v>19</v>
      </c>
      <c r="C53" s="2" t="n">
        <v>17</v>
      </c>
      <c r="D53" s="2" t="n">
        <v>10521.51</v>
      </c>
      <c r="E53" s="0" t="str">
        <f aca="false">"("&amp;$A53&amp;", "&amp;$B53&amp;", "&amp;$C53&amp;", "&amp;$D53&amp;"),"</f>
        <v>(20, 19, 17, 10521.51),</v>
      </c>
      <c r="F53" s="0" t="n">
        <f aca="true">IF(RAND()&gt;0.5,F52+1,F52)</f>
        <v>25</v>
      </c>
      <c r="G53" s="0" t="n">
        <f aca="true">ROUND(RAND()*COUNT(items!$B:$B),0)</f>
        <v>12</v>
      </c>
      <c r="H53" s="0" t="n">
        <f aca="true">1+ROUND(EXP(10*RAND()-5),0)</f>
        <v>1</v>
      </c>
      <c r="I53" s="0" t="n">
        <f aca="true">ROUND(VLOOKUP(G53,items!$A$2:$E$31,5,0)*IF(RAND()&gt;0.5,1 - 0.5 * RAND(),1),2)</f>
        <v>27212.65</v>
      </c>
    </row>
    <row r="54" customFormat="false" ht="12.8" hidden="false" customHeight="false" outlineLevel="0" collapsed="false">
      <c r="A54" s="2" t="n">
        <v>21</v>
      </c>
      <c r="B54" s="2" t="n">
        <v>20</v>
      </c>
      <c r="C54" s="2" t="n">
        <v>2</v>
      </c>
      <c r="D54" s="2" t="n">
        <v>3495.51</v>
      </c>
      <c r="E54" s="0" t="str">
        <f aca="false">"("&amp;$A54&amp;", "&amp;$B54&amp;", "&amp;$C54&amp;", "&amp;$D54&amp;"),"</f>
        <v>(21, 20, 2, 3495.51),</v>
      </c>
      <c r="F54" s="0" t="n">
        <f aca="true">IF(RAND()&gt;0.5,F53+1,F53)</f>
        <v>26</v>
      </c>
      <c r="G54" s="0" t="n">
        <f aca="true">ROUND(RAND()*COUNT(items!$B:$B),0)</f>
        <v>4</v>
      </c>
      <c r="H54" s="0" t="n">
        <f aca="true">1+ROUND(EXP(10*RAND()-5),0)</f>
        <v>14</v>
      </c>
      <c r="I54" s="0" t="n">
        <f aca="true">ROUND(VLOOKUP(G54,items!$A$2:$E$31,5,0)*IF(RAND()&gt;0.5,1 - 0.5 * RAND(),1),2)</f>
        <v>2584.67</v>
      </c>
    </row>
    <row r="55" customFormat="false" ht="12.8" hidden="false" customHeight="false" outlineLevel="0" collapsed="false">
      <c r="A55" s="2" t="n">
        <v>22</v>
      </c>
      <c r="B55" s="2" t="n">
        <v>8</v>
      </c>
      <c r="C55" s="2" t="n">
        <v>10</v>
      </c>
      <c r="D55" s="2" t="n">
        <v>735.02</v>
      </c>
      <c r="E55" s="0" t="str">
        <f aca="false">"("&amp;$A55&amp;", "&amp;$B55&amp;", "&amp;$C55&amp;", "&amp;$D55&amp;"),"</f>
        <v>(22, 8, 10, 735.02),</v>
      </c>
      <c r="F55" s="0" t="n">
        <f aca="true">IF(RAND()&gt;0.5,F54+1,F54)</f>
        <v>26</v>
      </c>
      <c r="G55" s="0" t="n">
        <f aca="true">ROUND(RAND()*COUNT(items!$B:$B),0)</f>
        <v>27</v>
      </c>
      <c r="H55" s="0" t="n">
        <f aca="true">1+ROUND(EXP(10*RAND()-5),0)</f>
        <v>6</v>
      </c>
      <c r="I55" s="0" t="n">
        <f aca="true">ROUND(VLOOKUP(G55,items!$A$2:$E$31,5,0)*IF(RAND()&gt;0.5,1 - 0.5 * RAND(),1),2)</f>
        <v>6929.24</v>
      </c>
    </row>
    <row r="56" customFormat="false" ht="12.8" hidden="false" customHeight="false" outlineLevel="0" collapsed="false">
      <c r="A56" s="2" t="n">
        <v>22</v>
      </c>
      <c r="B56" s="2" t="n">
        <v>23</v>
      </c>
      <c r="C56" s="2" t="n">
        <v>1</v>
      </c>
      <c r="D56" s="2" t="n">
        <v>4893.64</v>
      </c>
      <c r="E56" s="0" t="str">
        <f aca="false">"("&amp;$A56&amp;", "&amp;$B56&amp;", "&amp;$C56&amp;", "&amp;$D56&amp;"),"</f>
        <v>(22, 23, 1, 4893.64),</v>
      </c>
      <c r="F56" s="0" t="n">
        <f aca="true">IF(RAND()&gt;0.5,F55+1,F55)</f>
        <v>26</v>
      </c>
      <c r="G56" s="0" t="n">
        <f aca="true">ROUND(RAND()*COUNT(items!$B:$B),0)</f>
        <v>14</v>
      </c>
      <c r="H56" s="0" t="n">
        <f aca="true">1+ROUND(EXP(10*RAND()-5),0)</f>
        <v>2</v>
      </c>
      <c r="I56" s="0" t="n">
        <f aca="true">ROUND(VLOOKUP(G56,items!$A$2:$E$31,5,0)*IF(RAND()&gt;0.5,1 - 0.5 * RAND(),1),2)</f>
        <v>9874.66</v>
      </c>
    </row>
    <row r="57" customFormat="false" ht="12.8" hidden="false" customHeight="false" outlineLevel="0" collapsed="false">
      <c r="A57" s="2" t="n">
        <v>22</v>
      </c>
      <c r="B57" s="2" t="n">
        <v>24</v>
      </c>
      <c r="C57" s="2" t="n">
        <v>1</v>
      </c>
      <c r="D57" s="2" t="n">
        <v>5721.23</v>
      </c>
      <c r="E57" s="0" t="str">
        <f aca="false">"("&amp;$A57&amp;", "&amp;$B57&amp;", "&amp;$C57&amp;", "&amp;$D57&amp;"),"</f>
        <v>(22, 24, 1, 5721.23),</v>
      </c>
      <c r="F57" s="0" t="n">
        <f aca="true">IF(RAND()&gt;0.5,F56+1,F56)</f>
        <v>26</v>
      </c>
      <c r="G57" s="0" t="n">
        <f aca="true">ROUND(RAND()*COUNT(items!$B:$B),0)</f>
        <v>22</v>
      </c>
      <c r="H57" s="0" t="n">
        <f aca="true">1+ROUND(EXP(10*RAND()-5),0)</f>
        <v>1</v>
      </c>
      <c r="I57" s="0" t="n">
        <f aca="true">ROUND(VLOOKUP(G57,items!$A$2:$E$31,5,0)*IF(RAND()&gt;0.5,1 - 0.5 * RAND(),1),2)</f>
        <v>28126.56</v>
      </c>
    </row>
    <row r="58" customFormat="false" ht="12.8" hidden="false" customHeight="false" outlineLevel="0" collapsed="false">
      <c r="A58" s="2" t="n">
        <v>23</v>
      </c>
      <c r="B58" s="2" t="n">
        <v>2</v>
      </c>
      <c r="C58" s="2" t="n">
        <v>6</v>
      </c>
      <c r="D58" s="2" t="n">
        <v>1608.34</v>
      </c>
      <c r="E58" s="0" t="str">
        <f aca="false">"("&amp;$A58&amp;", "&amp;$B58&amp;", "&amp;$C58&amp;", "&amp;$D58&amp;"),"</f>
        <v>(23, 2, 6, 1608.34),</v>
      </c>
      <c r="F58" s="0" t="n">
        <f aca="true">IF(RAND()&gt;0.5,F57+1,F57)</f>
        <v>26</v>
      </c>
      <c r="G58" s="0" t="n">
        <f aca="true">ROUND(RAND()*COUNT(items!$B:$B),0)</f>
        <v>5</v>
      </c>
      <c r="H58" s="0" t="n">
        <f aca="true">1+ROUND(EXP(10*RAND()-5),0)</f>
        <v>113</v>
      </c>
      <c r="I58" s="0" t="n">
        <f aca="true">ROUND(VLOOKUP(G58,items!$A$2:$E$31,5,0)*IF(RAND()&gt;0.5,1 - 0.5 * RAND(),1),2)</f>
        <v>3180.24</v>
      </c>
    </row>
    <row r="59" customFormat="false" ht="12.8" hidden="false" customHeight="false" outlineLevel="0" collapsed="false">
      <c r="A59" s="2" t="n">
        <v>24</v>
      </c>
      <c r="B59" s="2" t="n">
        <v>21</v>
      </c>
      <c r="C59" s="2" t="n">
        <v>1</v>
      </c>
      <c r="D59" s="2" t="n">
        <v>7807.99</v>
      </c>
      <c r="E59" s="0" t="str">
        <f aca="false">"("&amp;$A59&amp;", "&amp;$B59&amp;", "&amp;$C59&amp;", "&amp;$D59&amp;"),"</f>
        <v>(24, 21, 1, 7807.99),</v>
      </c>
      <c r="F59" s="0" t="n">
        <f aca="true">IF(RAND()&gt;0.5,F58+1,F58)</f>
        <v>27</v>
      </c>
      <c r="G59" s="0" t="n">
        <f aca="true">ROUND(RAND()*COUNT(items!$B:$B),0)</f>
        <v>16</v>
      </c>
      <c r="H59" s="0" t="n">
        <f aca="true">1+ROUND(EXP(10*RAND()-5),0)</f>
        <v>1</v>
      </c>
      <c r="I59" s="0" t="n">
        <f aca="true">ROUND(VLOOKUP(G59,items!$A$2:$E$31,5,0)*IF(RAND()&gt;0.5,1 - 0.5 * RAND(),1),2)</f>
        <v>20536.69</v>
      </c>
    </row>
    <row r="60" customFormat="false" ht="12.8" hidden="false" customHeight="false" outlineLevel="0" collapsed="false">
      <c r="A60" s="2" t="n">
        <v>24</v>
      </c>
      <c r="B60" s="2" t="n">
        <v>25</v>
      </c>
      <c r="C60" s="2" t="n">
        <v>1</v>
      </c>
      <c r="D60" s="2" t="n">
        <v>4078.81</v>
      </c>
      <c r="E60" s="0" t="str">
        <f aca="false">"("&amp;$A60&amp;", "&amp;$B60&amp;", "&amp;$C60&amp;", "&amp;$D60&amp;"),"</f>
        <v>(24, 25, 1, 4078.81),</v>
      </c>
      <c r="F60" s="0" t="n">
        <f aca="true">IF(RAND()&gt;0.5,F59+1,F59)</f>
        <v>27</v>
      </c>
      <c r="G60" s="0" t="n">
        <f aca="true">ROUND(RAND()*COUNT(items!$B:$B),0)</f>
        <v>20</v>
      </c>
      <c r="H60" s="0" t="n">
        <f aca="true">1+ROUND(EXP(10*RAND()-5),0)</f>
        <v>16</v>
      </c>
      <c r="I60" s="0" t="n">
        <f aca="true">ROUND(VLOOKUP(G60,items!$A$2:$E$31,5,0)*IF(RAND()&gt;0.5,1 - 0.5 * RAND(),1),2)</f>
        <v>2880.31</v>
      </c>
    </row>
    <row r="61" customFormat="false" ht="12.8" hidden="false" customHeight="false" outlineLevel="0" collapsed="false">
      <c r="A61" s="2" t="n">
        <v>24</v>
      </c>
      <c r="B61" s="2" t="n">
        <v>22</v>
      </c>
      <c r="C61" s="2" t="n">
        <v>1</v>
      </c>
      <c r="D61" s="2" t="n">
        <v>10776.39</v>
      </c>
      <c r="E61" s="0" t="str">
        <f aca="false">"("&amp;$A61&amp;", "&amp;$B61&amp;", "&amp;$C61&amp;", "&amp;$D61&amp;"),"</f>
        <v>(24, 22, 1, 10776.39),</v>
      </c>
      <c r="F61" s="0" t="n">
        <f aca="true">IF(RAND()&gt;0.5,F60+1,F60)</f>
        <v>28</v>
      </c>
      <c r="G61" s="0" t="n">
        <f aca="true">ROUND(RAND()*COUNT(items!$B:$B),0)</f>
        <v>0</v>
      </c>
      <c r="H61" s="0" t="n">
        <f aca="true">1+ROUND(EXP(10*RAND()-5),0)</f>
        <v>35</v>
      </c>
      <c r="I61" s="0" t="e">
        <f aca="true">ROUND(VLOOKUP(G61,items!$A$2:$E$31,5,0)*IF(RAND()&gt;0.5,1 - 0.5 * RAND(),1),2)</f>
        <v>#N/A</v>
      </c>
    </row>
    <row r="62" customFormat="false" ht="12.8" hidden="false" customHeight="false" outlineLevel="0" collapsed="false">
      <c r="A62" s="2" t="n">
        <v>25</v>
      </c>
      <c r="B62" s="2" t="n">
        <v>5</v>
      </c>
      <c r="C62" s="2" t="n">
        <v>1</v>
      </c>
      <c r="D62" s="2" t="n">
        <v>3180.24</v>
      </c>
      <c r="E62" s="0" t="str">
        <f aca="false">"("&amp;$A62&amp;", "&amp;$B62&amp;", "&amp;$C62&amp;", "&amp;$D62&amp;"),"</f>
        <v>(25, 5, 1, 3180.24),</v>
      </c>
      <c r="F62" s="0" t="n">
        <f aca="true">IF(RAND()&gt;0.5,F61+1,F61)</f>
        <v>28</v>
      </c>
      <c r="G62" s="0" t="n">
        <f aca="true">ROUND(RAND()*COUNT(items!$B:$B),0)</f>
        <v>26</v>
      </c>
      <c r="H62" s="0" t="n">
        <f aca="true">1+ROUND(EXP(10*RAND()-5),0)</f>
        <v>1</v>
      </c>
      <c r="I62" s="0" t="n">
        <f aca="true">ROUND(VLOOKUP(G62,items!$A$2:$E$31,5,0)*IF(RAND()&gt;0.5,1 - 0.5 * RAND(),1),2)</f>
        <v>1970.12</v>
      </c>
    </row>
    <row r="63" customFormat="false" ht="12.8" hidden="false" customHeight="false" outlineLevel="0" collapsed="false">
      <c r="A63" s="2" t="n">
        <v>25</v>
      </c>
      <c r="B63" s="2" t="n">
        <v>4</v>
      </c>
      <c r="C63" s="2" t="n">
        <v>1</v>
      </c>
      <c r="D63" s="2" t="n">
        <v>3023.84</v>
      </c>
      <c r="E63" s="0" t="str">
        <f aca="false">"("&amp;$A63&amp;", "&amp;$B63&amp;", "&amp;$C63&amp;", "&amp;$D63&amp;"),"</f>
        <v>(25, 4, 1, 3023.84),</v>
      </c>
      <c r="F63" s="0" t="n">
        <f aca="true">IF(RAND()&gt;0.5,F62+1,F62)</f>
        <v>28</v>
      </c>
      <c r="G63" s="0" t="n">
        <f aca="true">ROUND(RAND()*COUNT(items!$B:$B),0)</f>
        <v>3</v>
      </c>
      <c r="H63" s="0" t="n">
        <f aca="true">1+ROUND(EXP(10*RAND()-5),0)</f>
        <v>1</v>
      </c>
      <c r="I63" s="0" t="n">
        <f aca="true">ROUND(VLOOKUP(G63,items!$A$2:$E$31,5,0)*IF(RAND()&gt;0.5,1 - 0.5 * RAND(),1),2)</f>
        <v>3043.83</v>
      </c>
    </row>
    <row r="64" customFormat="false" ht="12.8" hidden="false" customHeight="false" outlineLevel="0" collapsed="false">
      <c r="A64" s="2" t="n">
        <v>25</v>
      </c>
      <c r="B64" s="2" t="n">
        <v>23</v>
      </c>
      <c r="C64" s="2" t="n">
        <v>1</v>
      </c>
      <c r="D64" s="2" t="n">
        <v>7434.45</v>
      </c>
      <c r="E64" s="0" t="str">
        <f aca="false">"("&amp;$A64&amp;", "&amp;$B64&amp;", "&amp;$C64&amp;", "&amp;$D64&amp;"),"</f>
        <v>(25, 23, 1, 7434.45),</v>
      </c>
      <c r="F64" s="0" t="n">
        <f aca="true">IF(RAND()&gt;0.5,F63+1,F63)</f>
        <v>28</v>
      </c>
      <c r="G64" s="0" t="n">
        <f aca="true">ROUND(RAND()*COUNT(items!$B:$B),0)</f>
        <v>28</v>
      </c>
      <c r="H64" s="0" t="n">
        <f aca="true">1+ROUND(EXP(10*RAND()-5),0)</f>
        <v>1</v>
      </c>
      <c r="I64" s="0" t="n">
        <f aca="true">ROUND(VLOOKUP(G64,items!$A$2:$E$31,5,0)*IF(RAND()&gt;0.5,1 - 0.5 * RAND(),1),2)</f>
        <v>10044.23</v>
      </c>
    </row>
    <row r="65" customFormat="false" ht="12.8" hidden="false" customHeight="false" outlineLevel="0" collapsed="false">
      <c r="A65" s="2" t="n">
        <v>26</v>
      </c>
      <c r="B65" s="2" t="n">
        <v>4</v>
      </c>
      <c r="C65" s="2" t="n">
        <v>1</v>
      </c>
      <c r="D65" s="2" t="n">
        <v>2607.53</v>
      </c>
      <c r="E65" s="0" t="str">
        <f aca="false">"("&amp;$A65&amp;", "&amp;$B65&amp;", "&amp;$C65&amp;", "&amp;$D65&amp;"),"</f>
        <v>(26, 4, 1, 2607.53),</v>
      </c>
      <c r="F65" s="0" t="n">
        <f aca="true">IF(RAND()&gt;0.5,F64+1,F64)</f>
        <v>28</v>
      </c>
      <c r="G65" s="0" t="n">
        <f aca="true">ROUND(RAND()*COUNT(items!$B:$B),0)</f>
        <v>7</v>
      </c>
      <c r="H65" s="0" t="n">
        <f aca="true">1+ROUND(EXP(10*RAND()-5),0)</f>
        <v>1</v>
      </c>
      <c r="I65" s="0" t="n">
        <f aca="true">ROUND(VLOOKUP(G65,items!$A$2:$E$31,5,0)*IF(RAND()&gt;0.5,1 - 0.5 * RAND(),1),2)</f>
        <v>1289.83</v>
      </c>
    </row>
    <row r="66" customFormat="false" ht="12.8" hidden="false" customHeight="false" outlineLevel="0" collapsed="false">
      <c r="A66" s="2" t="n">
        <v>27</v>
      </c>
      <c r="B66" s="2" t="n">
        <v>14</v>
      </c>
      <c r="C66" s="2" t="n">
        <v>13</v>
      </c>
      <c r="D66" s="2" t="n">
        <v>5940.17</v>
      </c>
      <c r="E66" s="0" t="str">
        <f aca="false">"("&amp;$A66&amp;", "&amp;$B66&amp;", "&amp;$C66&amp;", "&amp;$D66&amp;"),"</f>
        <v>(27, 14, 13, 5940.17),</v>
      </c>
      <c r="F66" s="0" t="n">
        <f aca="true">IF(RAND()&gt;0.5,F65+1,F65)</f>
        <v>28</v>
      </c>
      <c r="G66" s="0" t="n">
        <f aca="true">ROUND(RAND()*COUNT(items!$B:$B),0)</f>
        <v>3</v>
      </c>
      <c r="H66" s="0" t="n">
        <f aca="true">1+ROUND(EXP(10*RAND()-5),0)</f>
        <v>1</v>
      </c>
      <c r="I66" s="0" t="n">
        <f aca="true">ROUND(VLOOKUP(G66,items!$A$2:$E$31,5,0)*IF(RAND()&gt;0.5,1 - 0.5 * RAND(),1),2)</f>
        <v>4606.26</v>
      </c>
    </row>
    <row r="67" customFormat="false" ht="12.8" hidden="false" customHeight="false" outlineLevel="0" collapsed="false">
      <c r="A67" s="2" t="n">
        <v>27</v>
      </c>
      <c r="B67" s="2" t="n">
        <v>27</v>
      </c>
      <c r="C67" s="2" t="n">
        <v>1</v>
      </c>
      <c r="D67" s="2" t="n">
        <v>5828.02</v>
      </c>
      <c r="E67" s="0" t="str">
        <f aca="false">"("&amp;$A67&amp;", "&amp;$B67&amp;", "&amp;$C67&amp;", "&amp;$D67&amp;"),"</f>
        <v>(27, 27, 1, 5828.02),</v>
      </c>
      <c r="F67" s="0" t="n">
        <f aca="true">IF(RAND()&gt;0.5,F66+1,F66)</f>
        <v>29</v>
      </c>
      <c r="G67" s="0" t="n">
        <f aca="true">ROUND(RAND()*COUNT(items!$B:$B),0)</f>
        <v>1</v>
      </c>
      <c r="H67" s="0" t="n">
        <f aca="true">1+ROUND(EXP(10*RAND()-5),0)</f>
        <v>6</v>
      </c>
      <c r="I67" s="0" t="n">
        <f aca="true">ROUND(VLOOKUP(G67,items!$A$2:$E$31,5,0)*IF(RAND()&gt;0.5,1 - 0.5 * RAND(),1),2)</f>
        <v>2511.64</v>
      </c>
    </row>
    <row r="68" customFormat="false" ht="12.8" hidden="false" customHeight="false" outlineLevel="0" collapsed="false">
      <c r="A68" s="2" t="n">
        <v>28</v>
      </c>
      <c r="B68" s="2" t="n">
        <v>5</v>
      </c>
      <c r="C68" s="2" t="n">
        <v>1</v>
      </c>
      <c r="D68" s="2" t="n">
        <v>2447.26</v>
      </c>
      <c r="E68" s="0" t="str">
        <f aca="false">"("&amp;$A68&amp;", "&amp;$B68&amp;", "&amp;$C68&amp;", "&amp;$D68&amp;"),"</f>
        <v>(28, 5, 1, 2447.26),</v>
      </c>
      <c r="F68" s="0" t="n">
        <f aca="true">IF(RAND()&gt;0.5,F67+1,F67)</f>
        <v>29</v>
      </c>
      <c r="G68" s="0" t="n">
        <f aca="true">ROUND(RAND()*COUNT(items!$B:$B),0)</f>
        <v>14</v>
      </c>
      <c r="H68" s="0" t="n">
        <f aca="true">1+ROUND(EXP(10*RAND()-5),0)</f>
        <v>1</v>
      </c>
      <c r="I68" s="0" t="n">
        <f aca="true">ROUND(VLOOKUP(G68,items!$A$2:$E$31,5,0)*IF(RAND()&gt;0.5,1 - 0.5 * RAND(),1),2)</f>
        <v>9874.66</v>
      </c>
    </row>
    <row r="69" customFormat="false" ht="12.8" hidden="false" customHeight="false" outlineLevel="0" collapsed="false">
      <c r="A69" s="2" t="n">
        <v>28</v>
      </c>
      <c r="B69" s="2" t="n">
        <v>20</v>
      </c>
      <c r="C69" s="2" t="n">
        <v>95</v>
      </c>
      <c r="D69" s="2" t="n">
        <v>2581.15</v>
      </c>
      <c r="E69" s="0" t="str">
        <f aca="false">"("&amp;$A69&amp;", "&amp;$B69&amp;", "&amp;$C69&amp;", "&amp;$D69&amp;"),"</f>
        <v>(28, 20, 95, 2581.15),</v>
      </c>
      <c r="F69" s="0" t="n">
        <f aca="true">IF(RAND()&gt;0.5,F68+1,F68)</f>
        <v>30</v>
      </c>
      <c r="G69" s="0" t="n">
        <f aca="true">ROUND(RAND()*COUNT(items!$B:$B),0)</f>
        <v>7</v>
      </c>
      <c r="H69" s="0" t="n">
        <f aca="true">1+ROUND(EXP(10*RAND()-5),0)</f>
        <v>1</v>
      </c>
      <c r="I69" s="0" t="n">
        <f aca="true">ROUND(VLOOKUP(G69,items!$A$2:$E$31,5,0)*IF(RAND()&gt;0.5,1 - 0.5 * RAND(),1),2)</f>
        <v>2359.22</v>
      </c>
    </row>
    <row r="70" customFormat="false" ht="12.8" hidden="false" customHeight="false" outlineLevel="0" collapsed="false">
      <c r="A70" s="2" t="n">
        <v>29</v>
      </c>
      <c r="B70" s="2" t="n">
        <v>5</v>
      </c>
      <c r="C70" s="2" t="n">
        <v>70</v>
      </c>
      <c r="D70" s="2" t="n">
        <v>2679.42</v>
      </c>
      <c r="E70" s="0" t="str">
        <f aca="false">"("&amp;$A70&amp;", "&amp;$B70&amp;", "&amp;$C70&amp;", "&amp;$D70&amp;"),"</f>
        <v>(29, 5, 70, 2679.42),</v>
      </c>
      <c r="F70" s="0" t="n">
        <f aca="true">IF(RAND()&gt;0.5,F69+1,F69)</f>
        <v>30</v>
      </c>
      <c r="G70" s="0" t="n">
        <f aca="true">ROUND(RAND()*COUNT(items!$B:$B),0)</f>
        <v>21</v>
      </c>
      <c r="H70" s="0" t="n">
        <f aca="true">1+ROUND(EXP(10*RAND()-5),0)</f>
        <v>1</v>
      </c>
      <c r="I70" s="0" t="n">
        <f aca="true">ROUND(VLOOKUP(G70,items!$A$2:$E$31,5,0)*IF(RAND()&gt;0.5,1 - 0.5 * RAND(),1),2)</f>
        <v>10172.9</v>
      </c>
    </row>
    <row r="71" customFormat="false" ht="12.8" hidden="false" customHeight="false" outlineLevel="0" collapsed="false">
      <c r="A71" s="2" t="n">
        <v>30</v>
      </c>
      <c r="B71" s="2" t="n">
        <v>22</v>
      </c>
      <c r="C71" s="2" t="n">
        <v>1</v>
      </c>
      <c r="D71" s="2" t="n">
        <v>28126.56</v>
      </c>
      <c r="E71" s="0" t="str">
        <f aca="false">"("&amp;$A71&amp;", "&amp;$B71&amp;", "&amp;$C71&amp;", "&amp;$D71&amp;"),"</f>
        <v>(30, 22, 1, 28126.56),</v>
      </c>
      <c r="F71" s="0" t="n">
        <f aca="true">IF(RAND()&gt;0.5,F70+1,F70)</f>
        <v>30</v>
      </c>
      <c r="G71" s="0" t="n">
        <f aca="true">ROUND(RAND()*COUNT(items!$B:$B),0)</f>
        <v>26</v>
      </c>
      <c r="H71" s="0" t="n">
        <f aca="true">1+ROUND(EXP(10*RAND()-5),0)</f>
        <v>1</v>
      </c>
      <c r="I71" s="0" t="n">
        <f aca="true">ROUND(VLOOKUP(G71,items!$A$2:$E$31,5,0)*IF(RAND()&gt;0.5,1 - 0.5 * RAND(),1),2)</f>
        <v>3546.06</v>
      </c>
    </row>
    <row r="72" customFormat="false" ht="12.8" hidden="false" customHeight="false" outlineLevel="0" collapsed="false">
      <c r="A72" s="2" t="n">
        <v>31</v>
      </c>
      <c r="B72" s="2" t="n">
        <v>2</v>
      </c>
      <c r="C72" s="2" t="n">
        <v>2</v>
      </c>
      <c r="D72" s="2" t="n">
        <v>1835.93</v>
      </c>
      <c r="E72" s="0" t="str">
        <f aca="false">"("&amp;$A72&amp;", "&amp;$B72&amp;", "&amp;$C72&amp;", "&amp;$D72&amp;"),"</f>
        <v>(31, 2, 2, 1835.93),</v>
      </c>
      <c r="F72" s="0" t="n">
        <f aca="true">IF(RAND()&gt;0.5,F71+1,F71)</f>
        <v>30</v>
      </c>
      <c r="G72" s="0" t="n">
        <f aca="true">ROUND(RAND()*COUNT(items!$B:$B),0)</f>
        <v>15</v>
      </c>
      <c r="H72" s="0" t="n">
        <f aca="true">1+ROUND(EXP(10*RAND()-5),0)</f>
        <v>2</v>
      </c>
      <c r="I72" s="0" t="n">
        <f aca="true">ROUND(VLOOKUP(G72,items!$A$2:$E$31,5,0)*IF(RAND()&gt;0.5,1 - 0.5 * RAND(),1),2)</f>
        <v>7479.46</v>
      </c>
    </row>
    <row r="73" customFormat="false" ht="12.8" hidden="false" customHeight="false" outlineLevel="0" collapsed="false">
      <c r="A73" s="2" t="n">
        <v>32</v>
      </c>
      <c r="B73" s="2" t="n">
        <v>20</v>
      </c>
      <c r="C73" s="2" t="n">
        <v>11</v>
      </c>
      <c r="D73" s="2" t="n">
        <v>5063.9</v>
      </c>
      <c r="E73" s="0" t="str">
        <f aca="false">"("&amp;$A73&amp;", "&amp;$B73&amp;", "&amp;$C73&amp;", "&amp;$D73&amp;"),"</f>
        <v>(32, 20, 11, 5063.9),</v>
      </c>
      <c r="F73" s="0" t="n">
        <f aca="true">IF(RAND()&gt;0.5,F72+1,F72)</f>
        <v>30</v>
      </c>
      <c r="G73" s="0" t="n">
        <f aca="true">ROUND(RAND()*COUNT(items!$B:$B),0)</f>
        <v>15</v>
      </c>
      <c r="H73" s="0" t="n">
        <f aca="true">1+ROUND(EXP(10*RAND()-5),0)</f>
        <v>1</v>
      </c>
      <c r="I73" s="0" t="n">
        <f aca="true">ROUND(VLOOKUP(G73,items!$A$2:$E$31,5,0)*IF(RAND()&gt;0.5,1 - 0.5 * RAND(),1),2)</f>
        <v>8048.47</v>
      </c>
    </row>
    <row r="74" customFormat="false" ht="12.8" hidden="false" customHeight="false" outlineLevel="0" collapsed="false">
      <c r="A74" s="2" t="n">
        <v>33</v>
      </c>
      <c r="B74" s="2" t="n">
        <v>8</v>
      </c>
      <c r="C74" s="2" t="n">
        <v>3</v>
      </c>
      <c r="D74" s="2" t="n">
        <v>823.19</v>
      </c>
      <c r="E74" s="0" t="str">
        <f aca="false">"("&amp;$A74&amp;", "&amp;$B74&amp;", "&amp;$C74&amp;", "&amp;$D74&amp;"),"</f>
        <v>(33, 8, 3, 823.19),</v>
      </c>
      <c r="F74" s="0" t="n">
        <f aca="true">IF(RAND()&gt;0.5,F73+1,F73)</f>
        <v>30</v>
      </c>
      <c r="G74" s="0" t="n">
        <f aca="true">ROUND(RAND()*COUNT(items!$B:$B),0)</f>
        <v>23</v>
      </c>
      <c r="H74" s="0" t="n">
        <f aca="true">1+ROUND(EXP(10*RAND()-5),0)</f>
        <v>21</v>
      </c>
      <c r="I74" s="0" t="n">
        <f aca="true">ROUND(VLOOKUP(G74,items!$A$2:$E$31,5,0)*IF(RAND()&gt;0.5,1 - 0.5 * RAND(),1),2)</f>
        <v>3776.15</v>
      </c>
    </row>
    <row r="75" customFormat="false" ht="12.8" hidden="false" customHeight="false" outlineLevel="0" collapsed="false">
      <c r="A75" s="2" t="n">
        <v>33</v>
      </c>
      <c r="B75" s="2" t="n">
        <v>17</v>
      </c>
      <c r="C75" s="2" t="n">
        <v>1</v>
      </c>
      <c r="D75" s="2" t="n">
        <v>23189.66</v>
      </c>
      <c r="E75" s="0" t="str">
        <f aca="false">"("&amp;$A75&amp;", "&amp;$B75&amp;", "&amp;$C75&amp;", "&amp;$D75&amp;"),"</f>
        <v>(33, 17, 1, 23189.66),</v>
      </c>
      <c r="F75" s="0" t="n">
        <f aca="true">IF(RAND()&gt;0.5,F74+1,F74)</f>
        <v>31</v>
      </c>
      <c r="G75" s="0" t="n">
        <f aca="true">ROUND(RAND()*COUNT(items!$B:$B),0)</f>
        <v>27</v>
      </c>
      <c r="H75" s="0" t="n">
        <f aca="true">1+ROUND(EXP(10*RAND()-5),0)</f>
        <v>83</v>
      </c>
      <c r="I75" s="0" t="n">
        <f aca="true">ROUND(VLOOKUP(G75,items!$A$2:$E$31,5,0)*IF(RAND()&gt;0.5,1 - 0.5 * RAND(),1),2)</f>
        <v>9215.76</v>
      </c>
    </row>
    <row r="76" customFormat="false" ht="12.8" hidden="false" customHeight="false" outlineLevel="0" collapsed="false">
      <c r="A76" s="2" t="n">
        <v>34</v>
      </c>
      <c r="B76" s="2" t="n">
        <v>6</v>
      </c>
      <c r="C76" s="2" t="n">
        <v>1</v>
      </c>
      <c r="D76" s="2" t="n">
        <v>2299.84</v>
      </c>
      <c r="E76" s="0" t="str">
        <f aca="false">"("&amp;$A76&amp;", "&amp;$B76&amp;", "&amp;$C76&amp;", "&amp;$D76&amp;"),"</f>
        <v>(34, 6, 1, 2299.84),</v>
      </c>
      <c r="F76" s="0" t="n">
        <f aca="true">IF(RAND()&gt;0.5,F75+1,F75)</f>
        <v>31</v>
      </c>
      <c r="G76" s="0" t="n">
        <f aca="true">ROUND(RAND()*COUNT(items!$B:$B),0)</f>
        <v>17</v>
      </c>
      <c r="H76" s="0" t="n">
        <f aca="true">1+ROUND(EXP(10*RAND()-5),0)</f>
        <v>37</v>
      </c>
      <c r="I76" s="0" t="n">
        <f aca="true">ROUND(VLOOKUP(G76,items!$A$2:$E$31,5,0)*IF(RAND()&gt;0.5,1 - 0.5 * RAND(),1),2)</f>
        <v>24313.17</v>
      </c>
    </row>
    <row r="77" customFormat="false" ht="12.8" hidden="false" customHeight="false" outlineLevel="0" collapsed="false">
      <c r="A77" s="2" t="n">
        <v>34</v>
      </c>
      <c r="B77" s="2" t="n">
        <v>4</v>
      </c>
      <c r="C77" s="2" t="n">
        <v>1</v>
      </c>
      <c r="D77" s="2" t="n">
        <v>1848.14</v>
      </c>
      <c r="E77" s="0" t="str">
        <f aca="false">"("&amp;$A77&amp;", "&amp;$B77&amp;", "&amp;$C77&amp;", "&amp;$D77&amp;"),"</f>
        <v>(34, 4, 1, 1848.14),</v>
      </c>
      <c r="F77" s="0" t="n">
        <f aca="true">IF(RAND()&gt;0.5,F76+1,F76)</f>
        <v>31</v>
      </c>
      <c r="G77" s="0" t="n">
        <f aca="true">ROUND(RAND()*COUNT(items!$B:$B),0)</f>
        <v>23</v>
      </c>
      <c r="H77" s="0" t="n">
        <f aca="true">1+ROUND(EXP(10*RAND()-5),0)</f>
        <v>9</v>
      </c>
      <c r="I77" s="0" t="n">
        <f aca="true">ROUND(VLOOKUP(G77,items!$A$2:$E$31,5,0)*IF(RAND()&gt;0.5,1 - 0.5 * RAND(),1),2)</f>
        <v>4855.37</v>
      </c>
    </row>
    <row r="78" customFormat="false" ht="12.8" hidden="false" customHeight="false" outlineLevel="0" collapsed="false">
      <c r="A78" s="2" t="n">
        <v>34</v>
      </c>
      <c r="B78" s="2" t="n">
        <v>7</v>
      </c>
      <c r="C78" s="2" t="n">
        <v>32</v>
      </c>
      <c r="D78" s="2" t="n">
        <v>1320.98</v>
      </c>
      <c r="E78" s="0" t="str">
        <f aca="false">"("&amp;$A78&amp;", "&amp;$B78&amp;", "&amp;$C78&amp;", "&amp;$D78&amp;"),"</f>
        <v>(34, 7, 32, 1320.98),</v>
      </c>
      <c r="F78" s="0" t="n">
        <f aca="true">IF(RAND()&gt;0.5,F77+1,F77)</f>
        <v>31</v>
      </c>
      <c r="G78" s="0" t="n">
        <f aca="true">ROUND(RAND()*COUNT(items!$B:$B),0)</f>
        <v>3</v>
      </c>
      <c r="H78" s="0" t="n">
        <f aca="true">1+ROUND(EXP(10*RAND()-5),0)</f>
        <v>8</v>
      </c>
      <c r="I78" s="0" t="n">
        <f aca="true">ROUND(VLOOKUP(G78,items!$A$2:$E$31,5,0)*IF(RAND()&gt;0.5,1 - 0.5 * RAND(),1),2)</f>
        <v>4838.36</v>
      </c>
    </row>
    <row r="79" customFormat="false" ht="12.8" hidden="false" customHeight="false" outlineLevel="0" collapsed="false">
      <c r="A79" s="2" t="n">
        <v>35</v>
      </c>
      <c r="B79" s="2" t="n">
        <v>10</v>
      </c>
      <c r="C79" s="2" t="n">
        <v>1</v>
      </c>
      <c r="D79" s="2" t="n">
        <v>12195.95</v>
      </c>
      <c r="E79" s="0" t="str">
        <f aca="false">"("&amp;$A79&amp;", "&amp;$B79&amp;", "&amp;$C79&amp;", "&amp;$D79&amp;"),"</f>
        <v>(35, 10, 1, 12195.95),</v>
      </c>
      <c r="F79" s="0" t="n">
        <f aca="true">IF(RAND()&gt;0.5,F78+1,F78)</f>
        <v>32</v>
      </c>
      <c r="G79" s="0" t="n">
        <f aca="true">ROUND(RAND()*COUNT(items!$B:$B),0)</f>
        <v>13</v>
      </c>
      <c r="H79" s="0" t="n">
        <f aca="true">1+ROUND(EXP(10*RAND()-5),0)</f>
        <v>2</v>
      </c>
      <c r="I79" s="0" t="n">
        <f aca="true">ROUND(VLOOKUP(G79,items!$A$2:$E$31,5,0)*IF(RAND()&gt;0.5,1 - 0.5 * RAND(),1),2)</f>
        <v>40228.93</v>
      </c>
    </row>
    <row r="80" customFormat="false" ht="12.8" hidden="false" customHeight="false" outlineLevel="0" collapsed="false">
      <c r="A80" s="2" t="n">
        <v>35</v>
      </c>
      <c r="B80" s="2" t="n">
        <v>21</v>
      </c>
      <c r="C80" s="2" t="n">
        <v>1</v>
      </c>
      <c r="D80" s="2" t="n">
        <v>10776.39</v>
      </c>
      <c r="E80" s="0" t="str">
        <f aca="false">"("&amp;$A80&amp;", "&amp;$B80&amp;", "&amp;$C80&amp;", "&amp;$D80&amp;"),"</f>
        <v>(35, 21, 1, 10776.39),</v>
      </c>
      <c r="F80" s="0" t="n">
        <f aca="true">IF(RAND()&gt;0.5,F79+1,F79)</f>
        <v>32</v>
      </c>
      <c r="G80" s="0" t="n">
        <f aca="true">ROUND(RAND()*COUNT(items!$B:$B),0)</f>
        <v>8</v>
      </c>
      <c r="H80" s="0" t="n">
        <f aca="true">1+ROUND(EXP(10*RAND()-5),0)</f>
        <v>1</v>
      </c>
      <c r="I80" s="0" t="n">
        <f aca="true">ROUND(VLOOKUP(G80,items!$A$2:$E$31,5,0)*IF(RAND()&gt;0.5,1 - 0.5 * RAND(),1),2)</f>
        <v>1177.79</v>
      </c>
    </row>
    <row r="81" customFormat="false" ht="12.8" hidden="false" customHeight="false" outlineLevel="0" collapsed="false">
      <c r="A81" s="2" t="n">
        <v>35</v>
      </c>
      <c r="B81" s="2" t="n">
        <v>12</v>
      </c>
      <c r="C81" s="2" t="n">
        <v>2</v>
      </c>
      <c r="D81" s="2" t="n">
        <v>27212.65</v>
      </c>
      <c r="E81" s="0" t="str">
        <f aca="false">"("&amp;$A81&amp;", "&amp;$B81&amp;", "&amp;$C81&amp;", "&amp;$D81&amp;"),"</f>
        <v>(35, 12, 2, 27212.65),</v>
      </c>
      <c r="F81" s="0" t="n">
        <f aca="true">IF(RAND()&gt;0.5,F80+1,F80)</f>
        <v>32</v>
      </c>
      <c r="G81" s="0" t="n">
        <f aca="true">ROUND(RAND()*COUNT(items!$B:$B),0)</f>
        <v>4</v>
      </c>
      <c r="H81" s="0" t="n">
        <f aca="true">1+ROUND(EXP(10*RAND()-5),0)</f>
        <v>1</v>
      </c>
      <c r="I81" s="0" t="n">
        <f aca="true">ROUND(VLOOKUP(G81,items!$A$2:$E$31,5,0)*IF(RAND()&gt;0.5,1 - 0.5 * RAND(),1),2)</f>
        <v>3116.88</v>
      </c>
    </row>
    <row r="82" customFormat="false" ht="12.8" hidden="false" customHeight="false" outlineLevel="0" collapsed="false">
      <c r="A82" s="2" t="n">
        <v>35</v>
      </c>
      <c r="B82" s="2" t="n">
        <v>29</v>
      </c>
      <c r="C82" s="2" t="n">
        <v>1</v>
      </c>
      <c r="D82" s="2" t="n">
        <v>9030.28</v>
      </c>
      <c r="E82" s="0" t="str">
        <f aca="false">"("&amp;$A82&amp;", "&amp;$B82&amp;", "&amp;$C82&amp;", "&amp;$D82&amp;"),"</f>
        <v>(35, 29, 1, 9030.28),</v>
      </c>
      <c r="F82" s="0" t="n">
        <f aca="true">IF(RAND()&gt;0.5,F81+1,F81)</f>
        <v>32</v>
      </c>
      <c r="G82" s="0" t="n">
        <f aca="true">ROUND(RAND()*COUNT(items!$B:$B),0)</f>
        <v>8</v>
      </c>
      <c r="H82" s="0" t="n">
        <f aca="true">1+ROUND(EXP(10*RAND()-5),0)</f>
        <v>1</v>
      </c>
      <c r="I82" s="0" t="n">
        <f aca="true">ROUND(VLOOKUP(G82,items!$A$2:$E$31,5,0)*IF(RAND()&gt;0.5,1 - 0.5 * RAND(),1),2)</f>
        <v>1202.84</v>
      </c>
    </row>
    <row r="83" customFormat="false" ht="12.8" hidden="false" customHeight="false" outlineLevel="0" collapsed="false">
      <c r="A83" s="2" t="n">
        <v>35</v>
      </c>
      <c r="B83" s="2" t="n">
        <v>11</v>
      </c>
      <c r="C83" s="2" t="n">
        <v>28</v>
      </c>
      <c r="D83" s="2" t="n">
        <v>14577.5</v>
      </c>
      <c r="E83" s="0" t="str">
        <f aca="false">"("&amp;$A83&amp;", "&amp;$B83&amp;", "&amp;$C83&amp;", "&amp;$D83&amp;"),"</f>
        <v>(35, 11, 28, 14577.5),</v>
      </c>
      <c r="F83" s="0" t="n">
        <f aca="true">IF(RAND()&gt;0.5,F82+1,F82)</f>
        <v>32</v>
      </c>
      <c r="G83" s="0" t="n">
        <f aca="true">ROUND(RAND()*COUNT(items!$B:$B),0)</f>
        <v>14</v>
      </c>
      <c r="H83" s="0" t="n">
        <f aca="true">1+ROUND(EXP(10*RAND()-5),0)</f>
        <v>1</v>
      </c>
      <c r="I83" s="0" t="n">
        <f aca="true">ROUND(VLOOKUP(G83,items!$A$2:$E$31,5,0)*IF(RAND()&gt;0.5,1 - 0.5 * RAND(),1),2)</f>
        <v>9874.66</v>
      </c>
    </row>
    <row r="84" customFormat="false" ht="12.8" hidden="false" customHeight="false" outlineLevel="0" collapsed="false">
      <c r="A84" s="2" t="n">
        <v>36</v>
      </c>
      <c r="B84" s="2" t="n">
        <v>30</v>
      </c>
      <c r="C84" s="2" t="n">
        <v>93</v>
      </c>
      <c r="D84" s="2" t="n">
        <v>2084.99</v>
      </c>
      <c r="E84" s="0" t="str">
        <f aca="false">"("&amp;$A84&amp;", "&amp;$B84&amp;", "&amp;$C84&amp;", "&amp;$D84&amp;"),"</f>
        <v>(36, 30, 93, 2084.99),</v>
      </c>
      <c r="F84" s="0" t="n">
        <f aca="true">IF(RAND()&gt;0.5,F83+1,F83)</f>
        <v>32</v>
      </c>
      <c r="G84" s="0" t="n">
        <f aca="true">ROUND(RAND()*COUNT(items!$B:$B),0)</f>
        <v>7</v>
      </c>
      <c r="H84" s="0" t="n">
        <f aca="true">1+ROUND(EXP(10*RAND()-5),0)</f>
        <v>58</v>
      </c>
      <c r="I84" s="0" t="n">
        <f aca="true">ROUND(VLOOKUP(G84,items!$A$2:$E$31,5,0)*IF(RAND()&gt;0.5,1 - 0.5 * RAND(),1),2)</f>
        <v>1590.05</v>
      </c>
    </row>
    <row r="85" customFormat="false" ht="12.8" hidden="false" customHeight="false" outlineLevel="0" collapsed="false">
      <c r="A85" s="2" t="n">
        <v>36</v>
      </c>
      <c r="B85" s="2" t="n">
        <v>14</v>
      </c>
      <c r="C85" s="2" t="n">
        <v>121</v>
      </c>
      <c r="D85" s="2" t="n">
        <v>7971.74</v>
      </c>
      <c r="E85" s="0" t="str">
        <f aca="false">"("&amp;$A85&amp;", "&amp;$B85&amp;", "&amp;$C85&amp;", "&amp;$D85&amp;"),"</f>
        <v>(36, 14, 121, 7971.74),</v>
      </c>
      <c r="F85" s="0" t="n">
        <f aca="true">IF(RAND()&gt;0.5,F84+1,F84)</f>
        <v>32</v>
      </c>
      <c r="G85" s="0" t="n">
        <f aca="true">ROUND(RAND()*COUNT(items!$B:$B),0)</f>
        <v>22</v>
      </c>
      <c r="H85" s="0" t="n">
        <f aca="true">1+ROUND(EXP(10*RAND()-5),0)</f>
        <v>8</v>
      </c>
      <c r="I85" s="0" t="n">
        <f aca="true">ROUND(VLOOKUP(G85,items!$A$2:$E$31,5,0)*IF(RAND()&gt;0.5,1 - 0.5 * RAND(),1),2)</f>
        <v>23077.47</v>
      </c>
    </row>
    <row r="86" customFormat="false" ht="12.8" hidden="false" customHeight="false" outlineLevel="0" collapsed="false">
      <c r="A86" s="2" t="n">
        <v>36</v>
      </c>
      <c r="B86" s="2" t="n">
        <v>22</v>
      </c>
      <c r="C86" s="2" t="n">
        <v>1</v>
      </c>
      <c r="D86" s="2" t="n">
        <v>28126.56</v>
      </c>
      <c r="E86" s="0" t="str">
        <f aca="false">"("&amp;$A86&amp;", "&amp;$B86&amp;", "&amp;$C86&amp;", "&amp;$D86&amp;"),"</f>
        <v>(36, 22, 1, 28126.56),</v>
      </c>
      <c r="F86" s="0" t="n">
        <f aca="true">IF(RAND()&gt;0.5,F85+1,F85)</f>
        <v>32</v>
      </c>
      <c r="G86" s="0" t="n">
        <f aca="true">ROUND(RAND()*COUNT(items!$B:$B),0)</f>
        <v>6</v>
      </c>
      <c r="H86" s="0" t="n">
        <f aca="true">1+ROUND(EXP(10*RAND()-5),0)</f>
        <v>1</v>
      </c>
      <c r="I86" s="0" t="n">
        <f aca="true">ROUND(VLOOKUP(G86,items!$A$2:$E$31,5,0)*IF(RAND()&gt;0.5,1 - 0.5 * RAND(),1),2)</f>
        <v>2299.84</v>
      </c>
    </row>
    <row r="87" customFormat="false" ht="12.8" hidden="false" customHeight="false" outlineLevel="0" collapsed="false">
      <c r="A87" s="2" t="n">
        <v>37</v>
      </c>
      <c r="B87" s="2" t="n">
        <v>5</v>
      </c>
      <c r="C87" s="2" t="n">
        <v>3</v>
      </c>
      <c r="D87" s="2" t="n">
        <v>3113.07</v>
      </c>
      <c r="E87" s="0" t="str">
        <f aca="false">"("&amp;$A87&amp;", "&amp;$B87&amp;", "&amp;$C87&amp;", "&amp;$D87&amp;"),"</f>
        <v>(37, 5, 3, 3113.07),</v>
      </c>
      <c r="F87" s="0" t="n">
        <f aca="true">IF(RAND()&gt;0.5,F86+1,F86)</f>
        <v>33</v>
      </c>
      <c r="G87" s="0" t="n">
        <f aca="true">ROUND(RAND()*COUNT(items!$B:$B),0)</f>
        <v>16</v>
      </c>
      <c r="H87" s="0" t="n">
        <f aca="true">1+ROUND(EXP(10*RAND()-5),0)</f>
        <v>5</v>
      </c>
      <c r="I87" s="0" t="n">
        <f aca="true">ROUND(VLOOKUP(G87,items!$A$2:$E$31,5,0)*IF(RAND()&gt;0.5,1 - 0.5 * RAND(),1),2)</f>
        <v>20536.69</v>
      </c>
    </row>
    <row r="88" customFormat="false" ht="12.8" hidden="false" customHeight="false" outlineLevel="0" collapsed="false">
      <c r="A88" s="2" t="n">
        <v>37</v>
      </c>
      <c r="B88" s="2" t="n">
        <v>28</v>
      </c>
      <c r="C88" s="2" t="n">
        <v>2</v>
      </c>
      <c r="D88" s="2" t="n">
        <v>10044.23</v>
      </c>
      <c r="E88" s="0" t="str">
        <f aca="false">"("&amp;$A88&amp;", "&amp;$B88&amp;", "&amp;$C88&amp;", "&amp;$D88&amp;"),"</f>
        <v>(37, 28, 2, 10044.23),</v>
      </c>
      <c r="F88" s="0" t="n">
        <f aca="true">IF(RAND()&gt;0.5,F87+1,F87)</f>
        <v>33</v>
      </c>
      <c r="G88" s="0" t="n">
        <f aca="true">ROUND(RAND()*COUNT(items!$B:$B),0)</f>
        <v>27</v>
      </c>
      <c r="H88" s="0" t="n">
        <f aca="true">1+ROUND(EXP(10*RAND()-5),0)</f>
        <v>3</v>
      </c>
      <c r="I88" s="0" t="n">
        <f aca="true">ROUND(VLOOKUP(G88,items!$A$2:$E$31,5,0)*IF(RAND()&gt;0.5,1 - 0.5 * RAND(),1),2)</f>
        <v>8194.73</v>
      </c>
    </row>
    <row r="89" customFormat="false" ht="12.8" hidden="false" customHeight="false" outlineLevel="0" collapsed="false">
      <c r="A89" s="2" t="n">
        <v>37</v>
      </c>
      <c r="B89" s="2" t="n">
        <v>22</v>
      </c>
      <c r="C89" s="2" t="n">
        <v>32</v>
      </c>
      <c r="D89" s="2" t="n">
        <v>27901.4</v>
      </c>
      <c r="E89" s="0" t="str">
        <f aca="false">"("&amp;$A89&amp;", "&amp;$B89&amp;", "&amp;$C89&amp;", "&amp;$D89&amp;"),"</f>
        <v>(37, 22, 32, 27901.4),</v>
      </c>
      <c r="F89" s="0" t="n">
        <f aca="true">IF(RAND()&gt;0.5,F88+1,F88)</f>
        <v>34</v>
      </c>
      <c r="G89" s="0" t="n">
        <f aca="true">ROUND(RAND()*COUNT(items!$B:$B),0)</f>
        <v>5</v>
      </c>
      <c r="H89" s="0" t="n">
        <f aca="true">1+ROUND(EXP(10*RAND()-5),0)</f>
        <v>5</v>
      </c>
      <c r="I89" s="0" t="n">
        <f aca="true">ROUND(VLOOKUP(G89,items!$A$2:$E$31,5,0)*IF(RAND()&gt;0.5,1 - 0.5 * RAND(),1),2)</f>
        <v>2456.12</v>
      </c>
    </row>
    <row r="90" customFormat="false" ht="12.8" hidden="false" customHeight="false" outlineLevel="0" collapsed="false">
      <c r="A90" s="2" t="n">
        <v>38</v>
      </c>
      <c r="B90" s="2" t="n">
        <v>23</v>
      </c>
      <c r="C90" s="2" t="n">
        <v>5</v>
      </c>
      <c r="D90" s="2" t="n">
        <v>7434.45</v>
      </c>
      <c r="E90" s="0" t="str">
        <f aca="false">"("&amp;$A90&amp;", "&amp;$B90&amp;", "&amp;$C90&amp;", "&amp;$D90&amp;"),"</f>
        <v>(38, 23, 5, 7434.45),</v>
      </c>
      <c r="F90" s="0" t="n">
        <f aca="true">IF(RAND()&gt;0.5,F89+1,F89)</f>
        <v>35</v>
      </c>
      <c r="G90" s="0" t="n">
        <f aca="true">ROUND(RAND()*COUNT(items!$B:$B),0)</f>
        <v>19</v>
      </c>
      <c r="H90" s="0" t="n">
        <f aca="true">1+ROUND(EXP(10*RAND()-5),0)</f>
        <v>1</v>
      </c>
      <c r="I90" s="0" t="n">
        <f aca="true">ROUND(VLOOKUP(G90,items!$A$2:$E$31,5,0)*IF(RAND()&gt;0.5,1 - 0.5 * RAND(),1),2)</f>
        <v>7646.72</v>
      </c>
    </row>
    <row r="91" customFormat="false" ht="12.8" hidden="false" customHeight="false" outlineLevel="0" collapsed="false">
      <c r="A91" s="2" t="n">
        <v>39</v>
      </c>
      <c r="B91" s="2" t="n">
        <v>9</v>
      </c>
      <c r="C91" s="2" t="n">
        <v>19</v>
      </c>
      <c r="D91" s="2" t="n">
        <v>5355.67</v>
      </c>
      <c r="E91" s="0" t="str">
        <f aca="false">"("&amp;$A91&amp;", "&amp;$B91&amp;", "&amp;$C91&amp;", "&amp;$D91&amp;"),"</f>
        <v>(39, 9, 19, 5355.67),</v>
      </c>
      <c r="F91" s="0" t="n">
        <f aca="true">IF(RAND()&gt;0.5,F90+1,F90)</f>
        <v>35</v>
      </c>
      <c r="G91" s="0" t="n">
        <f aca="true">ROUND(RAND()*COUNT(items!$B:$B),0)</f>
        <v>1</v>
      </c>
      <c r="H91" s="0" t="n">
        <f aca="true">1+ROUND(EXP(10*RAND()-5),0)</f>
        <v>7</v>
      </c>
      <c r="I91" s="0" t="n">
        <f aca="true">ROUND(VLOOKUP(G91,items!$A$2:$E$31,5,0)*IF(RAND()&gt;0.5,1 - 0.5 * RAND(),1),2)</f>
        <v>1872.3</v>
      </c>
    </row>
    <row r="92" customFormat="false" ht="12.8" hidden="false" customHeight="false" outlineLevel="0" collapsed="false">
      <c r="A92" s="2" t="n">
        <v>40</v>
      </c>
      <c r="B92" s="2" t="n">
        <v>21</v>
      </c>
      <c r="C92" s="2" t="n">
        <v>34</v>
      </c>
      <c r="D92" s="2" t="n">
        <v>10776.39</v>
      </c>
      <c r="E92" s="0" t="str">
        <f aca="false">"("&amp;$A92&amp;", "&amp;$B92&amp;", "&amp;$C92&amp;", "&amp;$D92&amp;"),"</f>
        <v>(40, 21, 34, 10776.39),</v>
      </c>
      <c r="F92" s="0" t="n">
        <f aca="true">IF(RAND()&gt;0.5,F91+1,F91)</f>
        <v>36</v>
      </c>
      <c r="G92" s="0" t="n">
        <f aca="true">ROUND(RAND()*COUNT(items!$B:$B),0)</f>
        <v>6</v>
      </c>
      <c r="H92" s="0" t="n">
        <f aca="true">1+ROUND(EXP(10*RAND()-5),0)</f>
        <v>1</v>
      </c>
      <c r="I92" s="0" t="n">
        <f aca="true">ROUND(VLOOKUP(G92,items!$A$2:$E$31,5,0)*IF(RAND()&gt;0.5,1 - 0.5 * RAND(),1),2)</f>
        <v>2299.84</v>
      </c>
    </row>
    <row r="93" customFormat="false" ht="12.8" hidden="false" customHeight="false" outlineLevel="0" collapsed="false">
      <c r="A93" s="2" t="n">
        <v>41</v>
      </c>
      <c r="B93" s="2" t="n">
        <v>14</v>
      </c>
      <c r="C93" s="2" t="n">
        <v>14</v>
      </c>
      <c r="D93" s="2" t="n">
        <v>9358.68</v>
      </c>
      <c r="E93" s="0" t="str">
        <f aca="false">"("&amp;$A93&amp;", "&amp;$B93&amp;", "&amp;$C93&amp;", "&amp;$D93&amp;"),"</f>
        <v>(41, 14, 14, 9358.68),</v>
      </c>
      <c r="F93" s="0" t="n">
        <f aca="true">IF(RAND()&gt;0.5,F92+1,F92)</f>
        <v>36</v>
      </c>
      <c r="G93" s="0" t="n">
        <f aca="true">ROUND(RAND()*COUNT(items!$B:$B),0)</f>
        <v>19</v>
      </c>
      <c r="H93" s="0" t="n">
        <f aca="true">1+ROUND(EXP(10*RAND()-5),0)</f>
        <v>1</v>
      </c>
      <c r="I93" s="0" t="n">
        <f aca="true">ROUND(VLOOKUP(G93,items!$A$2:$E$31,5,0)*IF(RAND()&gt;0.5,1 - 0.5 * RAND(),1),2)</f>
        <v>9737.92</v>
      </c>
    </row>
    <row r="94" customFormat="false" ht="12.8" hidden="false" customHeight="false" outlineLevel="0" collapsed="false">
      <c r="A94" s="2" t="n">
        <v>41</v>
      </c>
      <c r="B94" s="2" t="n">
        <v>22</v>
      </c>
      <c r="C94" s="2" t="n">
        <v>2</v>
      </c>
      <c r="D94" s="2" t="n">
        <v>28126.56</v>
      </c>
      <c r="E94" s="0" t="str">
        <f aca="false">"("&amp;$A94&amp;", "&amp;$B94&amp;", "&amp;$C94&amp;", "&amp;$D94&amp;"),"</f>
        <v>(41, 22, 2, 28126.56),</v>
      </c>
      <c r="F94" s="0" t="n">
        <f aca="true">IF(RAND()&gt;0.5,F93+1,F93)</f>
        <v>36</v>
      </c>
      <c r="G94" s="0" t="n">
        <f aca="true">ROUND(RAND()*COUNT(items!$B:$B),0)</f>
        <v>1</v>
      </c>
      <c r="H94" s="0" t="n">
        <f aca="true">1+ROUND(EXP(10*RAND()-5),0)</f>
        <v>4</v>
      </c>
      <c r="I94" s="0" t="n">
        <f aca="true">ROUND(VLOOKUP(G94,items!$A$2:$E$31,5,0)*IF(RAND()&gt;0.5,1 - 0.5 * RAND(),1),2)</f>
        <v>2511.64</v>
      </c>
    </row>
    <row r="95" customFormat="false" ht="12.8" hidden="false" customHeight="false" outlineLevel="0" collapsed="false">
      <c r="A95" s="2" t="n">
        <v>42</v>
      </c>
      <c r="B95" s="2" t="n">
        <v>26</v>
      </c>
      <c r="C95" s="2" t="n">
        <v>1</v>
      </c>
      <c r="D95" s="2" t="n">
        <v>1829.93</v>
      </c>
      <c r="E95" s="0" t="str">
        <f aca="false">"("&amp;$A95&amp;", "&amp;$B95&amp;", "&amp;$C95&amp;", "&amp;$D95&amp;"),"</f>
        <v>(42, 26, 1, 1829.93),</v>
      </c>
      <c r="F95" s="0" t="n">
        <f aca="true">IF(RAND()&gt;0.5,F94+1,F94)</f>
        <v>36</v>
      </c>
      <c r="G95" s="0" t="n">
        <f aca="true">ROUND(RAND()*COUNT(items!$B:$B),0)</f>
        <v>12</v>
      </c>
      <c r="H95" s="0" t="n">
        <f aca="true">1+ROUND(EXP(10*RAND()-5),0)</f>
        <v>1</v>
      </c>
      <c r="I95" s="0" t="n">
        <f aca="true">ROUND(VLOOKUP(G95,items!$A$2:$E$31,5,0)*IF(RAND()&gt;0.5,1 - 0.5 * RAND(),1),2)</f>
        <v>27212.65</v>
      </c>
    </row>
    <row r="96" customFormat="false" ht="12.8" hidden="false" customHeight="false" outlineLevel="0" collapsed="false">
      <c r="A96" s="2" t="n">
        <v>42</v>
      </c>
      <c r="B96" s="2" t="n">
        <v>28</v>
      </c>
      <c r="C96" s="2" t="n">
        <v>2</v>
      </c>
      <c r="D96" s="2" t="n">
        <v>10044.23</v>
      </c>
      <c r="E96" s="0" t="str">
        <f aca="false">"("&amp;$A96&amp;", "&amp;$B96&amp;", "&amp;$C96&amp;", "&amp;$D96&amp;"),"</f>
        <v>(42, 28, 2, 10044.23),</v>
      </c>
      <c r="F96" s="0" t="n">
        <f aca="true">IF(RAND()&gt;0.5,F95+1,F95)</f>
        <v>37</v>
      </c>
      <c r="G96" s="0" t="n">
        <f aca="true">ROUND(RAND()*COUNT(items!$B:$B),0)</f>
        <v>18</v>
      </c>
      <c r="H96" s="0" t="n">
        <f aca="true">1+ROUND(EXP(10*RAND()-5),0)</f>
        <v>1</v>
      </c>
      <c r="I96" s="0" t="n">
        <f aca="true">ROUND(VLOOKUP(G96,items!$A$2:$E$31,5,0)*IF(RAND()&gt;0.5,1 - 0.5 * RAND(),1),2)</f>
        <v>25184.48</v>
      </c>
    </row>
    <row r="97" customFormat="false" ht="12.8" hidden="false" customHeight="false" outlineLevel="0" collapsed="false">
      <c r="A97" s="2" t="n">
        <v>42</v>
      </c>
      <c r="B97" s="2" t="n">
        <v>11</v>
      </c>
      <c r="C97" s="2" t="n">
        <v>62</v>
      </c>
      <c r="D97" s="2" t="n">
        <v>17939.85</v>
      </c>
      <c r="E97" s="0" t="str">
        <f aca="false">"("&amp;$A97&amp;", "&amp;$B97&amp;", "&amp;$C97&amp;", "&amp;$D97&amp;"),"</f>
        <v>(42, 11, 62, 17939.85),</v>
      </c>
      <c r="F97" s="0" t="n">
        <f aca="true">IF(RAND()&gt;0.5,F96+1,F96)</f>
        <v>37</v>
      </c>
      <c r="G97" s="0" t="n">
        <f aca="true">ROUND(RAND()*COUNT(items!$B:$B),0)</f>
        <v>25</v>
      </c>
      <c r="H97" s="0" t="n">
        <f aca="true">1+ROUND(EXP(10*RAND()-5),0)</f>
        <v>2</v>
      </c>
      <c r="I97" s="0" t="n">
        <f aca="true">ROUND(VLOOKUP(G97,items!$A$2:$E$31,5,0)*IF(RAND()&gt;0.5,1 - 0.5 * RAND(),1),2)</f>
        <v>3918.31</v>
      </c>
    </row>
    <row r="98" customFormat="false" ht="12.8" hidden="false" customHeight="false" outlineLevel="0" collapsed="false">
      <c r="A98" s="2" t="n">
        <v>42</v>
      </c>
      <c r="B98" s="2" t="n">
        <v>8</v>
      </c>
      <c r="C98" s="2" t="n">
        <v>1</v>
      </c>
      <c r="D98" s="2" t="n">
        <v>869.64</v>
      </c>
      <c r="E98" s="0" t="str">
        <f aca="false">"("&amp;$A98&amp;", "&amp;$B98&amp;", "&amp;$C98&amp;", "&amp;$D98&amp;"),"</f>
        <v>(42, 8, 1, 869.64),</v>
      </c>
      <c r="F98" s="0" t="n">
        <f aca="true">IF(RAND()&gt;0.5,F97+1,F97)</f>
        <v>38</v>
      </c>
      <c r="G98" s="0" t="n">
        <f aca="true">ROUND(RAND()*COUNT(items!$B:$B),0)</f>
        <v>7</v>
      </c>
      <c r="H98" s="0" t="n">
        <f aca="true">1+ROUND(EXP(10*RAND()-5),0)</f>
        <v>1</v>
      </c>
      <c r="I98" s="0" t="n">
        <f aca="true">ROUND(VLOOKUP(G98,items!$A$2:$E$31,5,0)*IF(RAND()&gt;0.5,1 - 0.5 * RAND(),1),2)</f>
        <v>2163.25</v>
      </c>
    </row>
    <row r="99" customFormat="false" ht="12.8" hidden="false" customHeight="false" outlineLevel="0" collapsed="false">
      <c r="A99" s="2" t="n">
        <v>43</v>
      </c>
      <c r="B99" s="2" t="n">
        <v>15</v>
      </c>
      <c r="C99" s="2" t="n">
        <v>68</v>
      </c>
      <c r="D99" s="2" t="n">
        <v>8048.47</v>
      </c>
      <c r="E99" s="0" t="str">
        <f aca="false">"("&amp;$A99&amp;", "&amp;$B99&amp;", "&amp;$C99&amp;", "&amp;$D99&amp;"),"</f>
        <v>(43, 15, 68, 8048.47),</v>
      </c>
      <c r="F99" s="0" t="n">
        <f aca="true">IF(RAND()&gt;0.5,F98+1,F98)</f>
        <v>39</v>
      </c>
      <c r="G99" s="0" t="n">
        <f aca="true">ROUND(RAND()*COUNT(items!$B:$B),0)</f>
        <v>13</v>
      </c>
      <c r="H99" s="0" t="n">
        <f aca="true">1+ROUND(EXP(10*RAND()-5),0)</f>
        <v>15</v>
      </c>
      <c r="I99" s="0" t="n">
        <f aca="true">ROUND(VLOOKUP(G99,items!$A$2:$E$31,5,0)*IF(RAND()&gt;0.5,1 - 0.5 * RAND(),1),2)</f>
        <v>40228.93</v>
      </c>
    </row>
    <row r="100" customFormat="false" ht="12.8" hidden="false" customHeight="false" outlineLevel="0" collapsed="false">
      <c r="A100" s="2" t="n">
        <v>43</v>
      </c>
      <c r="B100" s="2" t="n">
        <v>14</v>
      </c>
      <c r="C100" s="2" t="n">
        <v>1</v>
      </c>
      <c r="D100" s="2" t="n">
        <v>9874.66</v>
      </c>
      <c r="E100" s="0" t="str">
        <f aca="false">"("&amp;$A100&amp;", "&amp;$B100&amp;", "&amp;$C100&amp;", "&amp;$D100&amp;"),"</f>
        <v>(43, 14, 1, 9874.66),</v>
      </c>
      <c r="F100" s="0" t="n">
        <f aca="true">IF(RAND()&gt;0.5,F99+1,F99)</f>
        <v>40</v>
      </c>
      <c r="G100" s="0" t="n">
        <f aca="true">ROUND(RAND()*COUNT(items!$B:$B),0)</f>
        <v>13</v>
      </c>
      <c r="H100" s="0" t="n">
        <f aca="true">1+ROUND(EXP(10*RAND()-5),0)</f>
        <v>15</v>
      </c>
      <c r="I100" s="0" t="n">
        <f aca="true">ROUND(VLOOKUP(G100,items!$A$2:$E$31,5,0)*IF(RAND()&gt;0.5,1 - 0.5 * RAND(),1),2)</f>
        <v>22042.69</v>
      </c>
    </row>
    <row r="101" customFormat="false" ht="12.8" hidden="false" customHeight="false" outlineLevel="0" collapsed="false">
      <c r="A101" s="2" t="n">
        <v>43</v>
      </c>
      <c r="B101" s="2" t="n">
        <v>11</v>
      </c>
      <c r="C101" s="2" t="n">
        <v>1</v>
      </c>
      <c r="D101" s="2" t="n">
        <v>19164.8</v>
      </c>
      <c r="E101" s="0" t="str">
        <f aca="false">"("&amp;$A101&amp;", "&amp;$B101&amp;", "&amp;$C101&amp;", "&amp;$D101&amp;"),"</f>
        <v>(43, 11, 1, 19164.8),</v>
      </c>
      <c r="F101" s="0" t="n">
        <f aca="true">IF(RAND()&gt;0.5,F100+1,F100)</f>
        <v>41</v>
      </c>
      <c r="G101" s="0" t="n">
        <f aca="true">ROUND(RAND()*COUNT(items!$B:$B),0)</f>
        <v>23</v>
      </c>
      <c r="H101" s="0" t="n">
        <f aca="true">1+ROUND(EXP(10*RAND()-5),0)</f>
        <v>62</v>
      </c>
      <c r="I101" s="0" t="n">
        <f aca="true">ROUND(VLOOKUP(G101,items!$A$2:$E$31,5,0)*IF(RAND()&gt;0.5,1 - 0.5 * RAND(),1),2)</f>
        <v>7392.09</v>
      </c>
    </row>
    <row r="102" customFormat="false" ht="12.8" hidden="false" customHeight="false" outlineLevel="0" collapsed="false">
      <c r="A102" s="2" t="n">
        <v>43</v>
      </c>
      <c r="B102" s="2" t="n">
        <v>4</v>
      </c>
      <c r="C102" s="2" t="n">
        <v>1</v>
      </c>
      <c r="D102" s="2" t="n">
        <v>3504.5</v>
      </c>
      <c r="E102" s="0" t="str">
        <f aca="false">"("&amp;$A102&amp;", "&amp;$B102&amp;", "&amp;$C102&amp;", "&amp;$D102&amp;"),"</f>
        <v>(43, 4, 1, 3504.5),</v>
      </c>
      <c r="F102" s="0" t="n">
        <f aca="true">IF(RAND()&gt;0.5,F101+1,F101)</f>
        <v>42</v>
      </c>
      <c r="G102" s="0" t="n">
        <f aca="true">ROUND(RAND()*COUNT(items!$B:$B),0)</f>
        <v>28</v>
      </c>
      <c r="H102" s="0" t="n">
        <f aca="true">1+ROUND(EXP(10*RAND()-5),0)</f>
        <v>1</v>
      </c>
      <c r="I102" s="0" t="n">
        <f aca="true">ROUND(VLOOKUP(G102,items!$A$2:$E$31,5,0)*IF(RAND()&gt;0.5,1 - 0.5 * RAND(),1),2)</f>
        <v>10044.23</v>
      </c>
    </row>
    <row r="103" customFormat="false" ht="12.8" hidden="false" customHeight="false" outlineLevel="0" collapsed="false">
      <c r="A103" s="2" t="n">
        <v>43</v>
      </c>
      <c r="B103" s="2" t="n">
        <v>12</v>
      </c>
      <c r="C103" s="2" t="n">
        <v>1</v>
      </c>
      <c r="D103" s="2" t="n">
        <v>18276.37</v>
      </c>
      <c r="E103" s="0" t="str">
        <f aca="false">"("&amp;$A103&amp;", "&amp;$B103&amp;", "&amp;$C103&amp;", "&amp;$D103&amp;"),"</f>
        <v>(43, 12, 1, 18276.37),</v>
      </c>
      <c r="F103" s="0" t="n">
        <f aca="true">IF(RAND()&gt;0.5,F102+1,F102)</f>
        <v>42</v>
      </c>
      <c r="G103" s="0" t="n">
        <f aca="true">ROUND(RAND()*COUNT(items!$B:$B),0)</f>
        <v>25</v>
      </c>
      <c r="H103" s="0" t="n">
        <f aca="true">1+ROUND(EXP(10*RAND()-5),0)</f>
        <v>1</v>
      </c>
      <c r="I103" s="0" t="n">
        <f aca="true">ROUND(VLOOKUP(G103,items!$A$2:$E$31,5,0)*IF(RAND()&gt;0.5,1 - 0.5 * RAND(),1),2)</f>
        <v>4008.93</v>
      </c>
    </row>
    <row r="104" customFormat="false" ht="12.8" hidden="false" customHeight="false" outlineLevel="0" collapsed="false">
      <c r="A104" s="2" t="n">
        <v>43</v>
      </c>
      <c r="B104" s="2" t="n">
        <v>7</v>
      </c>
      <c r="C104" s="2" t="n">
        <v>11</v>
      </c>
      <c r="D104" s="2" t="n">
        <v>2359.22</v>
      </c>
      <c r="E104" s="0" t="str">
        <f aca="false">"("&amp;$A104&amp;", "&amp;$B104&amp;", "&amp;$C104&amp;", "&amp;$D104&amp;"),"</f>
        <v>(43, 7, 11, 2359.22),</v>
      </c>
      <c r="F104" s="0" t="n">
        <f aca="true">IF(RAND()&gt;0.5,F103+1,F103)</f>
        <v>43</v>
      </c>
      <c r="G104" s="0" t="n">
        <f aca="true">ROUND(RAND()*COUNT(items!$B:$B),0)</f>
        <v>25</v>
      </c>
      <c r="H104" s="0" t="n">
        <f aca="true">1+ROUND(EXP(10*RAND()-5),0)</f>
        <v>13</v>
      </c>
      <c r="I104" s="0" t="n">
        <f aca="true">ROUND(VLOOKUP(G104,items!$A$2:$E$31,5,0)*IF(RAND()&gt;0.5,1 - 0.5 * RAND(),1),2)</f>
        <v>3926.33</v>
      </c>
    </row>
    <row r="105" customFormat="false" ht="12.8" hidden="false" customHeight="false" outlineLevel="0" collapsed="false">
      <c r="A105" s="2" t="n">
        <v>44</v>
      </c>
      <c r="B105" s="2" t="n">
        <v>30</v>
      </c>
      <c r="C105" s="2" t="n">
        <v>65</v>
      </c>
      <c r="D105" s="2" t="n">
        <v>1603.71</v>
      </c>
      <c r="E105" s="0" t="str">
        <f aca="false">"("&amp;$A105&amp;", "&amp;$B105&amp;", "&amp;$C105&amp;", "&amp;$D105&amp;"),"</f>
        <v>(44, 30, 65, 1603.71),</v>
      </c>
      <c r="F105" s="0" t="n">
        <f aca="true">IF(RAND()&gt;0.5,F104+1,F104)</f>
        <v>43</v>
      </c>
      <c r="G105" s="0" t="n">
        <f aca="true">ROUND(RAND()*COUNT(items!$B:$B),0)</f>
        <v>25</v>
      </c>
      <c r="H105" s="0" t="n">
        <f aca="true">1+ROUND(EXP(10*RAND()-5),0)</f>
        <v>1</v>
      </c>
      <c r="I105" s="0" t="n">
        <f aca="true">ROUND(VLOOKUP(G105,items!$A$2:$E$31,5,0)*IF(RAND()&gt;0.5,1 - 0.5 * RAND(),1),2)</f>
        <v>2845.85</v>
      </c>
    </row>
    <row r="106" customFormat="false" ht="12.8" hidden="false" customHeight="false" outlineLevel="0" collapsed="false">
      <c r="A106" s="2" t="n">
        <v>44</v>
      </c>
      <c r="B106" s="2" t="n">
        <v>19</v>
      </c>
      <c r="C106" s="2" t="n">
        <v>50</v>
      </c>
      <c r="D106" s="2" t="n">
        <v>12504.17</v>
      </c>
      <c r="E106" s="0" t="str">
        <f aca="false">"("&amp;$A106&amp;", "&amp;$B106&amp;", "&amp;$C106&amp;", "&amp;$D106&amp;"),"</f>
        <v>(44, 19, 50, 12504.17),</v>
      </c>
      <c r="F106" s="0" t="n">
        <f aca="true">IF(RAND()&gt;0.5,F105+1,F105)</f>
        <v>44</v>
      </c>
      <c r="G106" s="0" t="n">
        <f aca="true">ROUND(RAND()*COUNT(items!$B:$B),0)</f>
        <v>15</v>
      </c>
      <c r="H106" s="0" t="n">
        <f aca="true">1+ROUND(EXP(10*RAND()-5),0)</f>
        <v>2</v>
      </c>
      <c r="I106" s="0" t="n">
        <f aca="true">ROUND(VLOOKUP(G106,items!$A$2:$E$31,5,0)*IF(RAND()&gt;0.5,1 - 0.5 * RAND(),1),2)</f>
        <v>8048.47</v>
      </c>
    </row>
    <row r="107" customFormat="false" ht="12.8" hidden="false" customHeight="false" outlineLevel="0" collapsed="false">
      <c r="A107" s="2" t="n">
        <v>44</v>
      </c>
      <c r="B107" s="2" t="n">
        <v>21</v>
      </c>
      <c r="C107" s="2" t="n">
        <v>2</v>
      </c>
      <c r="D107" s="2" t="n">
        <v>10776.39</v>
      </c>
      <c r="E107" s="0" t="str">
        <f aca="false">"("&amp;$A107&amp;", "&amp;$B107&amp;", "&amp;$C107&amp;", "&amp;$D107&amp;"),"</f>
        <v>(44, 21, 2, 10776.39),</v>
      </c>
      <c r="F107" s="0" t="n">
        <f aca="true">IF(RAND()&gt;0.5,F106+1,F106)</f>
        <v>45</v>
      </c>
      <c r="G107" s="0" t="n">
        <f aca="true">ROUND(RAND()*COUNT(items!$B:$B),0)</f>
        <v>9</v>
      </c>
      <c r="H107" s="0" t="n">
        <f aca="true">1+ROUND(EXP(10*RAND()-5),0)</f>
        <v>110</v>
      </c>
      <c r="I107" s="0" t="n">
        <f aca="true">ROUND(VLOOKUP(G107,items!$A$2:$E$31,5,0)*IF(RAND()&gt;0.5,1 - 0.5 * RAND(),1),2)</f>
        <v>5651.2</v>
      </c>
    </row>
    <row r="108" customFormat="false" ht="12.8" hidden="false" customHeight="false" outlineLevel="0" collapsed="false">
      <c r="A108" s="2" t="n">
        <v>44</v>
      </c>
      <c r="B108" s="2" t="n">
        <v>22</v>
      </c>
      <c r="C108" s="2" t="n">
        <v>10</v>
      </c>
      <c r="D108" s="2" t="n">
        <v>20930.57</v>
      </c>
      <c r="E108" s="0" t="str">
        <f aca="false">"("&amp;$A108&amp;", "&amp;$B108&amp;", "&amp;$C108&amp;", "&amp;$D108&amp;"),"</f>
        <v>(44, 22, 10, 20930.57),</v>
      </c>
      <c r="F108" s="0" t="n">
        <f aca="true">IF(RAND()&gt;0.5,F107+1,F107)</f>
        <v>45</v>
      </c>
      <c r="G108" s="0" t="n">
        <f aca="true">ROUND(RAND()*COUNT(items!$B:$B),0)</f>
        <v>12</v>
      </c>
      <c r="H108" s="0" t="n">
        <f aca="true">1+ROUND(EXP(10*RAND()-5),0)</f>
        <v>130</v>
      </c>
      <c r="I108" s="0" t="n">
        <f aca="true">ROUND(VLOOKUP(G108,items!$A$2:$E$31,5,0)*IF(RAND()&gt;0.5,1 - 0.5 * RAND(),1),2)</f>
        <v>27212.65</v>
      </c>
    </row>
    <row r="109" customFormat="false" ht="12.8" hidden="false" customHeight="false" outlineLevel="0" collapsed="false">
      <c r="A109" s="2" t="n">
        <v>44</v>
      </c>
      <c r="B109" s="2" t="n">
        <v>15</v>
      </c>
      <c r="C109" s="2" t="n">
        <v>1</v>
      </c>
      <c r="D109" s="2" t="n">
        <v>4556.38</v>
      </c>
      <c r="E109" s="0" t="str">
        <f aca="false">"("&amp;$A109&amp;", "&amp;$B109&amp;", "&amp;$C109&amp;", "&amp;$D109&amp;"),"</f>
        <v>(44, 15, 1, 4556.38),</v>
      </c>
      <c r="F109" s="0" t="n">
        <f aca="true">IF(RAND()&gt;0.5,F108+1,F108)</f>
        <v>45</v>
      </c>
      <c r="G109" s="0" t="n">
        <f aca="true">ROUND(RAND()*COUNT(items!$B:$B),0)</f>
        <v>10</v>
      </c>
      <c r="H109" s="0" t="n">
        <f aca="true">1+ROUND(EXP(10*RAND()-5),0)</f>
        <v>49</v>
      </c>
      <c r="I109" s="0" t="n">
        <f aca="true">ROUND(VLOOKUP(G109,items!$A$2:$E$31,5,0)*IF(RAND()&gt;0.5,1 - 0.5 * RAND(),1),2)</f>
        <v>8961.94</v>
      </c>
    </row>
    <row r="110" customFormat="false" ht="12.8" hidden="false" customHeight="false" outlineLevel="0" collapsed="false">
      <c r="A110" s="2" t="n">
        <v>44</v>
      </c>
      <c r="B110" s="2" t="n">
        <v>28</v>
      </c>
      <c r="C110" s="2" t="n">
        <v>15</v>
      </c>
      <c r="D110" s="2" t="n">
        <v>5841.03</v>
      </c>
      <c r="E110" s="0" t="str">
        <f aca="false">"("&amp;$A110&amp;", "&amp;$B110&amp;", "&amp;$C110&amp;", "&amp;$D110&amp;"),"</f>
        <v>(44, 28, 15, 5841.03),</v>
      </c>
      <c r="F110" s="0" t="n">
        <f aca="true">IF(RAND()&gt;0.5,F109+1,F109)</f>
        <v>45</v>
      </c>
      <c r="G110" s="0" t="n">
        <f aca="true">ROUND(RAND()*COUNT(items!$B:$B),0)</f>
        <v>2</v>
      </c>
      <c r="H110" s="0" t="n">
        <f aca="true">1+ROUND(EXP(10*RAND()-5),0)</f>
        <v>1</v>
      </c>
      <c r="I110" s="0" t="n">
        <f aca="true">ROUND(VLOOKUP(G110,items!$A$2:$E$31,5,0)*IF(RAND()&gt;0.5,1 - 0.5 * RAND(),1),2)</f>
        <v>1835.93</v>
      </c>
    </row>
    <row r="111" customFormat="false" ht="12.8" hidden="false" customHeight="false" outlineLevel="0" collapsed="false">
      <c r="A111" s="2" t="n">
        <v>45</v>
      </c>
      <c r="B111" s="2" t="n">
        <v>20</v>
      </c>
      <c r="C111" s="2" t="n">
        <v>13</v>
      </c>
      <c r="D111" s="2" t="n">
        <v>5063.9</v>
      </c>
      <c r="E111" s="0" t="str">
        <f aca="false">"("&amp;$A111&amp;", "&amp;$B111&amp;", "&amp;$C111&amp;", "&amp;$D111&amp;"),"</f>
        <v>(45, 20, 13, 5063.9),</v>
      </c>
      <c r="F111" s="0" t="n">
        <f aca="true">IF(RAND()&gt;0.5,F110+1,F110)</f>
        <v>45</v>
      </c>
      <c r="G111" s="0" t="n">
        <f aca="true">ROUND(RAND()*COUNT(items!$B:$B),0)</f>
        <v>13</v>
      </c>
      <c r="H111" s="0" t="n">
        <f aca="true">1+ROUND(EXP(10*RAND()-5),0)</f>
        <v>1</v>
      </c>
      <c r="I111" s="0" t="n">
        <f aca="true">ROUND(VLOOKUP(G111,items!$A$2:$E$31,5,0)*IF(RAND()&gt;0.5,1 - 0.5 * RAND(),1),2)</f>
        <v>40228.93</v>
      </c>
    </row>
    <row r="112" customFormat="false" ht="12.8" hidden="false" customHeight="false" outlineLevel="0" collapsed="false">
      <c r="A112" s="2" t="n">
        <v>45</v>
      </c>
      <c r="B112" s="2" t="n">
        <v>10</v>
      </c>
      <c r="C112" s="2" t="n">
        <v>1</v>
      </c>
      <c r="D112" s="2" t="n">
        <v>9104.55</v>
      </c>
      <c r="E112" s="0" t="str">
        <f aca="false">"("&amp;$A112&amp;", "&amp;$B112&amp;", "&amp;$C112&amp;", "&amp;$D112&amp;"),"</f>
        <v>(45, 10, 1, 9104.55),</v>
      </c>
      <c r="F112" s="0" t="n">
        <f aca="true">IF(RAND()&gt;0.5,F111+1,F111)</f>
        <v>45</v>
      </c>
      <c r="G112" s="0" t="n">
        <f aca="true">ROUND(RAND()*COUNT(items!$B:$B),0)</f>
        <v>29</v>
      </c>
      <c r="H112" s="0" t="n">
        <f aca="true">1+ROUND(EXP(10*RAND()-5),0)</f>
        <v>28</v>
      </c>
      <c r="I112" s="0" t="n">
        <f aca="true">ROUND(VLOOKUP(G112,items!$A$2:$E$31,5,0)*IF(RAND()&gt;0.5,1 - 0.5 * RAND(),1),2)</f>
        <v>5853.21</v>
      </c>
    </row>
    <row r="113" customFormat="false" ht="12.8" hidden="false" customHeight="false" outlineLevel="0" collapsed="false">
      <c r="A113" s="2" t="n">
        <v>45</v>
      </c>
      <c r="B113" s="2" t="n">
        <v>18</v>
      </c>
      <c r="C113" s="2" t="n">
        <v>3</v>
      </c>
      <c r="D113" s="2" t="n">
        <v>24329.57</v>
      </c>
      <c r="E113" s="0" t="str">
        <f aca="false">"("&amp;$A113&amp;", "&amp;$B113&amp;", "&amp;$C113&amp;", "&amp;$D113&amp;"),"</f>
        <v>(45, 18, 3, 24329.57),</v>
      </c>
      <c r="F113" s="0" t="n">
        <f aca="true">IF(RAND()&gt;0.5,F112+1,F112)</f>
        <v>46</v>
      </c>
      <c r="G113" s="0" t="n">
        <f aca="true">ROUND(RAND()*COUNT(items!$B:$B),0)</f>
        <v>14</v>
      </c>
      <c r="H113" s="0" t="n">
        <f aca="true">1+ROUND(EXP(10*RAND()-5),0)</f>
        <v>1</v>
      </c>
      <c r="I113" s="0" t="n">
        <f aca="true">ROUND(VLOOKUP(G113,items!$A$2:$E$31,5,0)*IF(RAND()&gt;0.5,1 - 0.5 * RAND(),1),2)</f>
        <v>9874.66</v>
      </c>
    </row>
    <row r="114" customFormat="false" ht="12.8" hidden="false" customHeight="false" outlineLevel="0" collapsed="false">
      <c r="A114" s="2" t="n">
        <v>46</v>
      </c>
      <c r="B114" s="2" t="n">
        <v>28</v>
      </c>
      <c r="C114" s="2" t="n">
        <v>30</v>
      </c>
      <c r="D114" s="2" t="n">
        <v>5101.6</v>
      </c>
      <c r="E114" s="0" t="str">
        <f aca="false">"("&amp;$A114&amp;", "&amp;$B114&amp;", "&amp;$C114&amp;", "&amp;$D114&amp;"),"</f>
        <v>(46, 28, 30, 5101.6),</v>
      </c>
      <c r="F114" s="0" t="n">
        <f aca="true">IF(RAND()&gt;0.5,F113+1,F113)</f>
        <v>46</v>
      </c>
      <c r="G114" s="0" t="n">
        <f aca="true">ROUND(RAND()*COUNT(items!$B:$B),0)</f>
        <v>1</v>
      </c>
      <c r="H114" s="0" t="n">
        <f aca="true">1+ROUND(EXP(10*RAND()-5),0)</f>
        <v>1</v>
      </c>
      <c r="I114" s="0" t="n">
        <f aca="true">ROUND(VLOOKUP(G114,items!$A$2:$E$31,5,0)*IF(RAND()&gt;0.5,1 - 0.5 * RAND(),1),2)</f>
        <v>2511.64</v>
      </c>
    </row>
    <row r="115" customFormat="false" ht="12.8" hidden="false" customHeight="false" outlineLevel="0" collapsed="false">
      <c r="A115" s="2" t="n">
        <v>46</v>
      </c>
      <c r="B115" s="2" t="n">
        <v>8</v>
      </c>
      <c r="C115" s="2" t="n">
        <v>1</v>
      </c>
      <c r="D115" s="2" t="n">
        <v>1424.93</v>
      </c>
      <c r="E115" s="0" t="str">
        <f aca="false">"("&amp;$A115&amp;", "&amp;$B115&amp;", "&amp;$C115&amp;", "&amp;$D115&amp;"),"</f>
        <v>(46, 8, 1, 1424.93),</v>
      </c>
      <c r="F115" s="0" t="n">
        <f aca="true">IF(RAND()&gt;0.5,F114+1,F114)</f>
        <v>46</v>
      </c>
      <c r="G115" s="0" t="n">
        <f aca="true">ROUND(RAND()*COUNT(items!$B:$B),0)</f>
        <v>16</v>
      </c>
      <c r="H115" s="0" t="n">
        <f aca="true">1+ROUND(EXP(10*RAND()-5),0)</f>
        <v>1</v>
      </c>
      <c r="I115" s="0" t="n">
        <f aca="true">ROUND(VLOOKUP(G115,items!$A$2:$E$31,5,0)*IF(RAND()&gt;0.5,1 - 0.5 * RAND(),1),2)</f>
        <v>14991.46</v>
      </c>
    </row>
    <row r="116" customFormat="false" ht="12.8" hidden="false" customHeight="false" outlineLevel="0" collapsed="false">
      <c r="A116" s="2" t="n">
        <v>47</v>
      </c>
      <c r="B116" s="2" t="n">
        <v>4</v>
      </c>
      <c r="C116" s="2" t="n">
        <v>1</v>
      </c>
      <c r="D116" s="2" t="n">
        <v>3504.5</v>
      </c>
      <c r="E116" s="0" t="str">
        <f aca="false">"("&amp;$A116&amp;", "&amp;$B116&amp;", "&amp;$C116&amp;", "&amp;$D116&amp;"),"</f>
        <v>(47, 4, 1, 3504.5),</v>
      </c>
      <c r="F116" s="0" t="n">
        <f aca="true">IF(RAND()&gt;0.5,F115+1,F115)</f>
        <v>47</v>
      </c>
      <c r="G116" s="0" t="n">
        <f aca="true">ROUND(RAND()*COUNT(items!$B:$B),0)</f>
        <v>7</v>
      </c>
      <c r="H116" s="0" t="n">
        <f aca="true">1+ROUND(EXP(10*RAND()-5),0)</f>
        <v>5</v>
      </c>
      <c r="I116" s="0" t="n">
        <f aca="true">ROUND(VLOOKUP(G116,items!$A$2:$E$31,5,0)*IF(RAND()&gt;0.5,1 - 0.5 * RAND(),1),2)</f>
        <v>2233.92</v>
      </c>
    </row>
    <row r="117" customFormat="false" ht="12.8" hidden="false" customHeight="false" outlineLevel="0" collapsed="false">
      <c r="A117" s="2" t="n">
        <v>48</v>
      </c>
      <c r="B117" s="2" t="n">
        <v>22</v>
      </c>
      <c r="C117" s="2" t="n">
        <v>1</v>
      </c>
      <c r="D117" s="2" t="n">
        <v>14670.21</v>
      </c>
      <c r="E117" s="0" t="str">
        <f aca="false">"("&amp;$A117&amp;", "&amp;$B117&amp;", "&amp;$C117&amp;", "&amp;$D117&amp;"),"</f>
        <v>(48, 22, 1, 14670.21),</v>
      </c>
      <c r="F117" s="0" t="n">
        <f aca="true">IF(RAND()&gt;0.5,F116+1,F116)</f>
        <v>47</v>
      </c>
      <c r="G117" s="0" t="n">
        <f aca="true">ROUND(RAND()*COUNT(items!$B:$B),0)</f>
        <v>10</v>
      </c>
      <c r="H117" s="0" t="n">
        <f aca="true">1+ROUND(EXP(10*RAND()-5),0)</f>
        <v>1</v>
      </c>
      <c r="I117" s="0" t="n">
        <f aca="true">ROUND(VLOOKUP(G117,items!$A$2:$E$31,5,0)*IF(RAND()&gt;0.5,1 - 0.5 * RAND(),1),2)</f>
        <v>14577.5</v>
      </c>
    </row>
    <row r="118" customFormat="false" ht="12.8" hidden="false" customHeight="false" outlineLevel="0" collapsed="false">
      <c r="A118" s="2" t="n">
        <v>48</v>
      </c>
      <c r="B118" s="2" t="n">
        <v>18</v>
      </c>
      <c r="C118" s="2" t="n">
        <v>2</v>
      </c>
      <c r="D118" s="2" t="n">
        <v>25184.48</v>
      </c>
      <c r="E118" s="0" t="str">
        <f aca="false">"("&amp;$A118&amp;", "&amp;$B118&amp;", "&amp;$C118&amp;", "&amp;$D118&amp;"),"</f>
        <v>(48, 18, 2, 25184.48),</v>
      </c>
      <c r="F118" s="0" t="n">
        <f aca="true">IF(RAND()&gt;0.5,F117+1,F117)</f>
        <v>47</v>
      </c>
      <c r="G118" s="0" t="n">
        <f aca="true">ROUND(RAND()*COUNT(items!$B:$B),0)</f>
        <v>13</v>
      </c>
      <c r="H118" s="0" t="n">
        <f aca="true">1+ROUND(EXP(10*RAND()-5),0)</f>
        <v>5</v>
      </c>
      <c r="I118" s="0" t="n">
        <f aca="true">ROUND(VLOOKUP(G118,items!$A$2:$E$31,5,0)*IF(RAND()&gt;0.5,1 - 0.5 * RAND(),1),2)</f>
        <v>40228.93</v>
      </c>
    </row>
    <row r="119" customFormat="false" ht="12.8" hidden="false" customHeight="false" outlineLevel="0" collapsed="false">
      <c r="A119" s="2" t="n">
        <v>49</v>
      </c>
      <c r="B119" s="2" t="n">
        <v>30</v>
      </c>
      <c r="C119" s="2" t="n">
        <v>1</v>
      </c>
      <c r="D119" s="2" t="n">
        <v>3062.81</v>
      </c>
      <c r="E119" s="0" t="str">
        <f aca="false">"("&amp;$A119&amp;", "&amp;$B119&amp;", "&amp;$C119&amp;", "&amp;$D119&amp;"),"</f>
        <v>(49, 30, 1, 3062.81),</v>
      </c>
      <c r="F119" s="0" t="n">
        <f aca="true">IF(RAND()&gt;0.5,F118+1,F118)</f>
        <v>47</v>
      </c>
      <c r="G119" s="0" t="n">
        <f aca="true">ROUND(RAND()*COUNT(items!$B:$B),0)</f>
        <v>28</v>
      </c>
      <c r="H119" s="0" t="n">
        <f aca="true">1+ROUND(EXP(10*RAND()-5),0)</f>
        <v>1</v>
      </c>
      <c r="I119" s="0" t="n">
        <f aca="true">ROUND(VLOOKUP(G119,items!$A$2:$E$31,5,0)*IF(RAND()&gt;0.5,1 - 0.5 * RAND(),1),2)</f>
        <v>10044.23</v>
      </c>
    </row>
    <row r="120" customFormat="false" ht="12.8" hidden="false" customHeight="false" outlineLevel="0" collapsed="false">
      <c r="A120" s="2" t="n">
        <v>49</v>
      </c>
      <c r="B120" s="2" t="n">
        <v>14</v>
      </c>
      <c r="C120" s="2" t="n">
        <v>5</v>
      </c>
      <c r="D120" s="2" t="n">
        <v>5498.21</v>
      </c>
      <c r="E120" s="0" t="str">
        <f aca="false">"("&amp;$A120&amp;", "&amp;$B120&amp;", "&amp;$C120&amp;", "&amp;$D120&amp;"),"</f>
        <v>(49, 14, 5, 5498.21),</v>
      </c>
      <c r="F120" s="0" t="n">
        <f aca="true">IF(RAND()&gt;0.5,F119+1,F119)</f>
        <v>47</v>
      </c>
      <c r="G120" s="0" t="n">
        <f aca="true">ROUND(RAND()*COUNT(items!$B:$B),0)</f>
        <v>3</v>
      </c>
      <c r="H120" s="0" t="n">
        <f aca="true">1+ROUND(EXP(10*RAND()-5),0)</f>
        <v>119</v>
      </c>
      <c r="I120" s="0" t="n">
        <f aca="true">ROUND(VLOOKUP(G120,items!$A$2:$E$31,5,0)*IF(RAND()&gt;0.5,1 - 0.5 * RAND(),1),2)</f>
        <v>4838.36</v>
      </c>
    </row>
    <row r="121" customFormat="false" ht="12.8" hidden="false" customHeight="false" outlineLevel="0" collapsed="false">
      <c r="A121" s="2" t="n">
        <v>50</v>
      </c>
      <c r="B121" s="2" t="n">
        <v>10</v>
      </c>
      <c r="C121" s="2" t="n">
        <v>1</v>
      </c>
      <c r="D121" s="2" t="n">
        <v>14308.56</v>
      </c>
      <c r="E121" s="0" t="str">
        <f aca="false">"("&amp;$A121&amp;", "&amp;$B121&amp;", "&amp;$C121&amp;", "&amp;$D121&amp;"),"</f>
        <v>(50, 10, 1, 14308.56),</v>
      </c>
      <c r="F121" s="0" t="n">
        <f aca="true">IF(RAND()&gt;0.5,F120+1,F120)</f>
        <v>47</v>
      </c>
      <c r="G121" s="0" t="n">
        <f aca="true">ROUND(RAND()*COUNT(items!$B:$B),0)</f>
        <v>22</v>
      </c>
      <c r="H121" s="0" t="n">
        <f aca="true">1+ROUND(EXP(10*RAND()-5),0)</f>
        <v>1</v>
      </c>
      <c r="I121" s="0" t="n">
        <f aca="true">ROUND(VLOOKUP(G121,items!$A$2:$E$31,5,0)*IF(RAND()&gt;0.5,1 - 0.5 * RAND(),1),2)</f>
        <v>20611.08</v>
      </c>
    </row>
    <row r="122" customFormat="false" ht="12.8" hidden="false" customHeight="false" outlineLevel="0" collapsed="false">
      <c r="F122" s="0" t="n">
        <f aca="true">IF(RAND()&gt;0.5,F121+1,F121)</f>
        <v>47</v>
      </c>
      <c r="G122" s="0" t="n">
        <f aca="true">ROUND(RAND()*COUNT(items!$B:$B),0)</f>
        <v>10</v>
      </c>
      <c r="H122" s="0" t="n">
        <f aca="true">1+ROUND(EXP(10*RAND()-5),0)</f>
        <v>1</v>
      </c>
      <c r="I122" s="0" t="n">
        <f aca="true">ROUND(VLOOKUP(G122,items!$A$2:$E$31,5,0)*IF(RAND()&gt;0.5,1 - 0.5 * RAND(),1),2)</f>
        <v>14577.5</v>
      </c>
    </row>
    <row r="123" customFormat="false" ht="12.8" hidden="false" customHeight="false" outlineLevel="0" collapsed="false">
      <c r="F123" s="0" t="n">
        <f aca="true">IF(RAND()&gt;0.5,F122+1,F122)</f>
        <v>47</v>
      </c>
      <c r="G123" s="0" t="n">
        <f aca="true">ROUND(RAND()*COUNT(items!$B:$B),0)</f>
        <v>27</v>
      </c>
      <c r="H123" s="0" t="n">
        <f aca="true">1+ROUND(EXP(10*RAND()-5),0)</f>
        <v>1</v>
      </c>
      <c r="I123" s="0" t="n">
        <f aca="true">ROUND(VLOOKUP(G123,items!$A$2:$E$31,5,0)*IF(RAND()&gt;0.5,1 - 0.5 * RAND(),1),2)</f>
        <v>9215.76</v>
      </c>
    </row>
    <row r="124" customFormat="false" ht="12.8" hidden="false" customHeight="false" outlineLevel="0" collapsed="false">
      <c r="F124" s="0" t="n">
        <f aca="true">IF(RAND()&gt;0.5,F123+1,F123)</f>
        <v>47</v>
      </c>
      <c r="G124" s="0" t="n">
        <f aca="true">ROUND(RAND()*COUNT(items!$B:$B),0)</f>
        <v>15</v>
      </c>
      <c r="H124" s="0" t="n">
        <f aca="true">1+ROUND(EXP(10*RAND()-5),0)</f>
        <v>38</v>
      </c>
      <c r="I124" s="0" t="n">
        <f aca="true">ROUND(VLOOKUP(G124,items!$A$2:$E$31,5,0)*IF(RAND()&gt;0.5,1 - 0.5 * RAND(),1),2)</f>
        <v>8048.47</v>
      </c>
    </row>
    <row r="125" customFormat="false" ht="12.8" hidden="false" customHeight="false" outlineLevel="0" collapsed="false">
      <c r="F125" s="0" t="n">
        <f aca="true">IF(RAND()&gt;0.5,F124+1,F124)</f>
        <v>47</v>
      </c>
      <c r="G125" s="0" t="n">
        <f aca="true">ROUND(RAND()*COUNT(items!$B:$B),0)</f>
        <v>24</v>
      </c>
      <c r="H125" s="0" t="n">
        <f aca="true">1+ROUND(EXP(10*RAND()-5),0)</f>
        <v>35</v>
      </c>
      <c r="I125" s="0" t="n">
        <f aca="true">ROUND(VLOOKUP(G125,items!$A$2:$E$31,5,0)*IF(RAND()&gt;0.5,1 - 0.5 * RAND(),1),2)</f>
        <v>5721.23</v>
      </c>
    </row>
    <row r="126" customFormat="false" ht="12.8" hidden="false" customHeight="false" outlineLevel="0" collapsed="false">
      <c r="F126" s="0" t="n">
        <f aca="true">IF(RAND()&gt;0.5,F125+1,F125)</f>
        <v>47</v>
      </c>
      <c r="G126" s="0" t="n">
        <f aca="true">ROUND(RAND()*COUNT(items!$B:$B),0)</f>
        <v>23</v>
      </c>
      <c r="H126" s="0" t="n">
        <f aca="true">1+ROUND(EXP(10*RAND()-5),0)</f>
        <v>1</v>
      </c>
      <c r="I126" s="0" t="n">
        <f aca="true">ROUND(VLOOKUP(G126,items!$A$2:$E$31,5,0)*IF(RAND()&gt;0.5,1 - 0.5 * RAND(),1),2)</f>
        <v>5386.91</v>
      </c>
    </row>
    <row r="127" customFormat="false" ht="12.8" hidden="false" customHeight="false" outlineLevel="0" collapsed="false">
      <c r="F127" s="0" t="n">
        <f aca="true">IF(RAND()&gt;0.5,F126+1,F126)</f>
        <v>48</v>
      </c>
      <c r="G127" s="0" t="n">
        <f aca="true">ROUND(RAND()*COUNT(items!$B:$B),0)</f>
        <v>29</v>
      </c>
      <c r="H127" s="0" t="n">
        <f aca="true">1+ROUND(EXP(10*RAND()-5),0)</f>
        <v>2</v>
      </c>
      <c r="I127" s="0" t="n">
        <f aca="true">ROUND(VLOOKUP(G127,items!$A$2:$E$31,5,0)*IF(RAND()&gt;0.5,1 - 0.5 * RAND(),1),2)</f>
        <v>11676.11</v>
      </c>
    </row>
    <row r="128" customFormat="false" ht="12.8" hidden="false" customHeight="false" outlineLevel="0" collapsed="false">
      <c r="F128" s="0" t="n">
        <f aca="true">IF(RAND()&gt;0.5,F127+1,F127)</f>
        <v>49</v>
      </c>
      <c r="G128" s="0" t="n">
        <f aca="true">ROUND(RAND()*COUNT(items!$B:$B),0)</f>
        <v>27</v>
      </c>
      <c r="H128" s="0" t="n">
        <f aca="true">1+ROUND(EXP(10*RAND()-5),0)</f>
        <v>137</v>
      </c>
      <c r="I128" s="0" t="n">
        <f aca="true">ROUND(VLOOKUP(G128,items!$A$2:$E$31,5,0)*IF(RAND()&gt;0.5,1 - 0.5 * RAND(),1),2)</f>
        <v>9215.76</v>
      </c>
    </row>
    <row r="129" customFormat="false" ht="12.8" hidden="false" customHeight="false" outlineLevel="0" collapsed="false">
      <c r="F129" s="0" t="n">
        <f aca="true">IF(RAND()&gt;0.5,F128+1,F128)</f>
        <v>49</v>
      </c>
      <c r="G129" s="0" t="n">
        <f aca="true">ROUND(RAND()*COUNT(items!$B:$B),0)</f>
        <v>2</v>
      </c>
      <c r="H129" s="0" t="n">
        <f aca="true">1+ROUND(EXP(10*RAND()-5),0)</f>
        <v>1</v>
      </c>
      <c r="I129" s="0" t="n">
        <f aca="true">ROUND(VLOOKUP(G129,items!$A$2:$E$31,5,0)*IF(RAND()&gt;0.5,1 - 0.5 * RAND(),1),2)</f>
        <v>1835.93</v>
      </c>
    </row>
    <row r="130" customFormat="false" ht="12.8" hidden="false" customHeight="false" outlineLevel="0" collapsed="false">
      <c r="F130" s="0" t="n">
        <f aca="true">IF(RAND()&gt;0.5,F129+1,F129)</f>
        <v>50</v>
      </c>
      <c r="G130" s="0" t="n">
        <f aca="true">ROUND(RAND()*COUNT(items!$B:$B),0)</f>
        <v>19</v>
      </c>
      <c r="H130" s="0" t="n">
        <f aca="true">1+ROUND(EXP(10*RAND()-5),0)</f>
        <v>49</v>
      </c>
      <c r="I130" s="0" t="n">
        <f aca="true">ROUND(VLOOKUP(G130,items!$A$2:$E$31,5,0)*IF(RAND()&gt;0.5,1 - 0.5 * RAND(),1),2)</f>
        <v>11192.71</v>
      </c>
    </row>
    <row r="131" customFormat="false" ht="12.8" hidden="false" customHeight="false" outlineLevel="0" collapsed="false">
      <c r="F131" s="0" t="n">
        <f aca="true">IF(RAND()&gt;0.5,F130+1,F130)</f>
        <v>50</v>
      </c>
      <c r="G131" s="0" t="n">
        <f aca="true">ROUND(RAND()*COUNT(items!$B:$B),0)</f>
        <v>29</v>
      </c>
      <c r="H131" s="0" t="n">
        <f aca="true">1+ROUND(EXP(10*RAND()-5),0)</f>
        <v>1</v>
      </c>
      <c r="I131" s="0" t="n">
        <f aca="true">ROUND(VLOOKUP(G131,items!$A$2:$E$31,5,0)*IF(RAND()&gt;0.5,1 - 0.5 * RAND(),1),2)</f>
        <v>11676.11</v>
      </c>
    </row>
    <row r="132" customFormat="false" ht="12.8" hidden="false" customHeight="false" outlineLevel="0" collapsed="false">
      <c r="F132" s="0" t="n">
        <f aca="true">IF(RAND()&gt;0.5,F131+1,F131)</f>
        <v>51</v>
      </c>
      <c r="G132" s="0" t="n">
        <f aca="true">ROUND(RAND()*COUNT(items!$B:$B),0)</f>
        <v>11</v>
      </c>
      <c r="H132" s="0" t="n">
        <f aca="true">1+ROUND(EXP(10*RAND()-5),0)</f>
        <v>114</v>
      </c>
      <c r="I132" s="0" t="n">
        <f aca="true">ROUND(VLOOKUP(G132,items!$A$2:$E$31,5,0)*IF(RAND()&gt;0.5,1 - 0.5 * RAND(),1),2)</f>
        <v>23653.84</v>
      </c>
    </row>
    <row r="133" customFormat="false" ht="12.8" hidden="false" customHeight="false" outlineLevel="0" collapsed="false">
      <c r="F133" s="0" t="n">
        <f aca="true">IF(RAND()&gt;0.5,F132+1,F132)</f>
        <v>52</v>
      </c>
      <c r="G133" s="0" t="n">
        <f aca="true">ROUND(RAND()*COUNT(items!$B:$B),0)</f>
        <v>13</v>
      </c>
      <c r="H133" s="0" t="n">
        <f aca="true">1+ROUND(EXP(10*RAND()-5),0)</f>
        <v>3</v>
      </c>
      <c r="I133" s="0" t="n">
        <f aca="true">ROUND(VLOOKUP(G133,items!$A$2:$E$31,5,0)*IF(RAND()&gt;0.5,1 - 0.5 * RAND(),1),2)</f>
        <v>34823.46</v>
      </c>
    </row>
    <row r="134" customFormat="false" ht="12.8" hidden="false" customHeight="false" outlineLevel="0" collapsed="false">
      <c r="F134" s="0" t="n">
        <f aca="true">IF(RAND()&gt;0.5,F133+1,F133)</f>
        <v>53</v>
      </c>
      <c r="G134" s="0" t="n">
        <f aca="true">ROUND(RAND()*COUNT(items!$B:$B),0)</f>
        <v>24</v>
      </c>
      <c r="H134" s="0" t="n">
        <f aca="true">1+ROUND(EXP(10*RAND()-5),0)</f>
        <v>4</v>
      </c>
      <c r="I134" s="0" t="n">
        <f aca="true">ROUND(VLOOKUP(G134,items!$A$2:$E$31,5,0)*IF(RAND()&gt;0.5,1 - 0.5 * RAND(),1),2)</f>
        <v>3788.44</v>
      </c>
    </row>
    <row r="135" customFormat="false" ht="12.8" hidden="false" customHeight="false" outlineLevel="0" collapsed="false">
      <c r="F135" s="0" t="n">
        <f aca="true">IF(RAND()&gt;0.5,F134+1,F134)</f>
        <v>53</v>
      </c>
      <c r="G135" s="0" t="n">
        <f aca="true">ROUND(RAND()*COUNT(items!$B:$B),0)</f>
        <v>23</v>
      </c>
      <c r="H135" s="0" t="n">
        <f aca="true">1+ROUND(EXP(10*RAND()-5),0)</f>
        <v>95</v>
      </c>
      <c r="I135" s="0" t="n">
        <f aca="true">ROUND(VLOOKUP(G135,items!$A$2:$E$31,5,0)*IF(RAND()&gt;0.5,1 - 0.5 * RAND(),1),2)</f>
        <v>6872.75</v>
      </c>
    </row>
    <row r="136" customFormat="false" ht="12.8" hidden="false" customHeight="false" outlineLevel="0" collapsed="false">
      <c r="F136" s="0" t="n">
        <f aca="true">IF(RAND()&gt;0.5,F135+1,F135)</f>
        <v>54</v>
      </c>
      <c r="G136" s="0" t="n">
        <f aca="true">ROUND(RAND()*COUNT(items!$B:$B),0)</f>
        <v>22</v>
      </c>
      <c r="H136" s="0" t="n">
        <f aca="true">1+ROUND(EXP(10*RAND()-5),0)</f>
        <v>4</v>
      </c>
      <c r="I136" s="0" t="n">
        <f aca="true">ROUND(VLOOKUP(G136,items!$A$2:$E$31,5,0)*IF(RAND()&gt;0.5,1 - 0.5 * RAND(),1),2)</f>
        <v>28126.56</v>
      </c>
    </row>
    <row r="137" customFormat="false" ht="12.8" hidden="false" customHeight="false" outlineLevel="0" collapsed="false">
      <c r="F137" s="0" t="n">
        <f aca="true">IF(RAND()&gt;0.5,F136+1,F136)</f>
        <v>55</v>
      </c>
      <c r="G137" s="0" t="n">
        <f aca="true">ROUND(RAND()*COUNT(items!$B:$B),0)</f>
        <v>9</v>
      </c>
      <c r="H137" s="0" t="n">
        <f aca="true">1+ROUND(EXP(10*RAND()-5),0)</f>
        <v>1</v>
      </c>
      <c r="I137" s="0" t="n">
        <f aca="true">ROUND(VLOOKUP(G137,items!$A$2:$E$31,5,0)*IF(RAND()&gt;0.5,1 - 0.5 * RAND(),1),2)</f>
        <v>5255.22</v>
      </c>
    </row>
    <row r="138" customFormat="false" ht="12.8" hidden="false" customHeight="false" outlineLevel="0" collapsed="false">
      <c r="F138" s="0" t="n">
        <f aca="true">IF(RAND()&gt;0.5,F137+1,F137)</f>
        <v>56</v>
      </c>
      <c r="G138" s="0" t="n">
        <f aca="true">ROUND(RAND()*COUNT(items!$B:$B),0)</f>
        <v>6</v>
      </c>
      <c r="H138" s="0" t="n">
        <f aca="true">1+ROUND(EXP(10*RAND()-5),0)</f>
        <v>115</v>
      </c>
      <c r="I138" s="0" t="n">
        <f aca="true">ROUND(VLOOKUP(G138,items!$A$2:$E$31,5,0)*IF(RAND()&gt;0.5,1 - 0.5 * RAND(),1),2)</f>
        <v>1323.96</v>
      </c>
    </row>
    <row r="139" customFormat="false" ht="12.8" hidden="false" customHeight="false" outlineLevel="0" collapsed="false">
      <c r="F139" s="0" t="n">
        <f aca="true">IF(RAND()&gt;0.5,F138+1,F138)</f>
        <v>57</v>
      </c>
      <c r="G139" s="0" t="n">
        <f aca="true">ROUND(RAND()*COUNT(items!$B:$B),0)</f>
        <v>3</v>
      </c>
      <c r="H139" s="0" t="n">
        <f aca="true">1+ROUND(EXP(10*RAND()-5),0)</f>
        <v>4</v>
      </c>
      <c r="I139" s="0" t="n">
        <f aca="true">ROUND(VLOOKUP(G139,items!$A$2:$E$31,5,0)*IF(RAND()&gt;0.5,1 - 0.5 * RAND(),1),2)</f>
        <v>4838.36</v>
      </c>
    </row>
    <row r="140" customFormat="false" ht="12.8" hidden="false" customHeight="false" outlineLevel="0" collapsed="false">
      <c r="F140" s="0" t="n">
        <f aca="true">IF(RAND()&gt;0.5,F139+1,F139)</f>
        <v>57</v>
      </c>
      <c r="G140" s="0" t="n">
        <f aca="true">ROUND(RAND()*COUNT(items!$B:$B),0)</f>
        <v>23</v>
      </c>
      <c r="H140" s="0" t="n">
        <f aca="true">1+ROUND(EXP(10*RAND()-5),0)</f>
        <v>17</v>
      </c>
      <c r="I140" s="0" t="n">
        <f aca="true">ROUND(VLOOKUP(G140,items!$A$2:$E$31,5,0)*IF(RAND()&gt;0.5,1 - 0.5 * RAND(),1),2)</f>
        <v>7077.96</v>
      </c>
    </row>
    <row r="141" customFormat="false" ht="12.8" hidden="false" customHeight="false" outlineLevel="0" collapsed="false">
      <c r="F141" s="0" t="n">
        <f aca="true">IF(RAND()&gt;0.5,F140+1,F140)</f>
        <v>57</v>
      </c>
      <c r="G141" s="0" t="n">
        <f aca="true">ROUND(RAND()*COUNT(items!$B:$B),0)</f>
        <v>9</v>
      </c>
      <c r="H141" s="0" t="n">
        <f aca="true">1+ROUND(EXP(10*RAND()-5),0)</f>
        <v>4</v>
      </c>
      <c r="I141" s="0" t="n">
        <f aca="true">ROUND(VLOOKUP(G141,items!$A$2:$E$31,5,0)*IF(RAND()&gt;0.5,1 - 0.5 * RAND(),1),2)</f>
        <v>6637.32</v>
      </c>
    </row>
    <row r="142" customFormat="false" ht="12.8" hidden="false" customHeight="false" outlineLevel="0" collapsed="false">
      <c r="F142" s="0" t="n">
        <f aca="true">IF(RAND()&gt;0.5,F141+1,F141)</f>
        <v>58</v>
      </c>
      <c r="G142" s="0" t="n">
        <f aca="true">ROUND(RAND()*COUNT(items!$B:$B),0)</f>
        <v>8</v>
      </c>
      <c r="H142" s="0" t="n">
        <f aca="true">1+ROUND(EXP(10*RAND()-5),0)</f>
        <v>108</v>
      </c>
      <c r="I142" s="0" t="n">
        <f aca="true">ROUND(VLOOKUP(G142,items!$A$2:$E$31,5,0)*IF(RAND()&gt;0.5,1 - 0.5 * RAND(),1),2)</f>
        <v>1362.39</v>
      </c>
    </row>
    <row r="143" customFormat="false" ht="12.8" hidden="false" customHeight="false" outlineLevel="0" collapsed="false">
      <c r="F143" s="0" t="n">
        <f aca="true">IF(RAND()&gt;0.5,F142+1,F142)</f>
        <v>58</v>
      </c>
      <c r="G143" s="0" t="n">
        <f aca="true">ROUND(RAND()*COUNT(items!$B:$B),0)</f>
        <v>18</v>
      </c>
      <c r="H143" s="0" t="n">
        <f aca="true">1+ROUND(EXP(10*RAND()-5),0)</f>
        <v>5</v>
      </c>
      <c r="I143" s="0" t="n">
        <f aca="true">ROUND(VLOOKUP(G143,items!$A$2:$E$31,5,0)*IF(RAND()&gt;0.5,1 - 0.5 * RAND(),1),2)</f>
        <v>14664.56</v>
      </c>
    </row>
    <row r="144" customFormat="false" ht="12.8" hidden="false" customHeight="false" outlineLevel="0" collapsed="false">
      <c r="F144" s="0" t="n">
        <f aca="true">IF(RAND()&gt;0.5,F143+1,F143)</f>
        <v>59</v>
      </c>
      <c r="G144" s="0" t="n">
        <f aca="true">ROUND(RAND()*COUNT(items!$B:$B),0)</f>
        <v>23</v>
      </c>
      <c r="H144" s="0" t="n">
        <f aca="true">1+ROUND(EXP(10*RAND()-5),0)</f>
        <v>1</v>
      </c>
      <c r="I144" s="0" t="n">
        <f aca="true">ROUND(VLOOKUP(G144,items!$A$2:$E$31,5,0)*IF(RAND()&gt;0.5,1 - 0.5 * RAND(),1),2)</f>
        <v>7434.45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2024-01-25T15:08:03Z</dcterms:created>
  <dc:creator/>
  <dc:description/>
  <dc:language>ru-RU</dc:language>
  <cp:lastModifiedBy/>
  <dcterms:modified xsi:type="dcterms:W3CDTF">2024-01-29T01:50:09Z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